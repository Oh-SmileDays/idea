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대시보드" sheetId="1" state="visible" r:id="rId3"/>
    <sheet name="설정" sheetId="2" state="visible" r:id="rId4"/>
    <sheet name="RawData" sheetId="3" state="visible" r:id="rId5"/>
    <sheet name="피벗" sheetId="4" state="visible" r:id="rId6"/>
    <sheet name="비교표" sheetId="5" state="visible" r:id="rId7"/>
    <sheet name="차트데이터" sheetId="6" state="visible" r:id="rId8"/>
  </sheets>
  <calcPr iterateCount="100" refMode="A1" iterate="false" iterateDelta="0.0001"/>
  <pivotCaches>
    <pivotCache cacheId="1" r:id="rId10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<sst xmlns="http://schemas.openxmlformats.org/spreadsheetml/2006/main" count="1104" uniqueCount="314">
  <si>
    <t xml:space="preserve">품목별 원가 비교 대시보드</t>
  </si>
  <si>
    <t xml:space="preserve">기본 설정</t>
  </si>
  <si>
    <r>
      <rPr>
        <i val="true"/>
        <sz val="11"/>
        <color rgb="FF7F7F7F"/>
        <rFont val="WenQuanYi Zen Hei"/>
        <family val="2"/>
      </rPr>
      <t xml:space="preserve">노란색 칸만 수정하세요</t>
    </r>
    <r>
      <rPr>
        <i val="true"/>
        <sz val="11"/>
        <color rgb="FF7F7F7F"/>
        <rFont val="맑은 고딕"/>
        <family val="0"/>
        <charset val="1"/>
      </rPr>
      <t xml:space="preserve">. </t>
    </r>
    <r>
      <rPr>
        <i val="true"/>
        <sz val="11"/>
        <color rgb="FF7F7F7F"/>
        <rFont val="WenQuanYi Zen Hei"/>
        <family val="2"/>
      </rPr>
      <t xml:space="preserve">모든 표와 차트가 이 값을 따라 바뀝니다</t>
    </r>
    <r>
      <rPr>
        <i val="true"/>
        <sz val="11"/>
        <color rgb="FF7F7F7F"/>
        <rFont val="맑은 고딕"/>
        <family val="0"/>
        <charset val="1"/>
      </rPr>
      <t xml:space="preserve">.</t>
    </r>
  </si>
  <si>
    <t xml:space="preserve">브랜드</t>
  </si>
  <si>
    <r>
      <rPr>
        <sz val="11"/>
        <color rgb="FF0000FF"/>
        <rFont val="WenQuanYi Zen Hei"/>
        <family val="2"/>
      </rPr>
      <t xml:space="preserve">브랜드</t>
    </r>
    <r>
      <rPr>
        <sz val="11"/>
        <color rgb="FF0000FF"/>
        <rFont val="맑은 고딕"/>
        <family val="0"/>
        <charset val="1"/>
      </rPr>
      <t xml:space="preserve">A</t>
    </r>
  </si>
  <si>
    <r>
      <rPr>
        <sz val="11"/>
        <color rgb="FF7F7F7F"/>
        <rFont val="맑은 고딕"/>
        <family val="0"/>
        <charset val="1"/>
      </rPr>
      <t xml:space="preserve">RawData </t>
    </r>
    <r>
      <rPr>
        <sz val="11"/>
        <color rgb="FF7F7F7F"/>
        <rFont val="WenQuanYi Zen Hei"/>
        <family val="2"/>
      </rPr>
      <t xml:space="preserve">시트의 브랜드명과 똑같이 입력</t>
    </r>
  </si>
  <si>
    <r>
      <rPr>
        <b val="true"/>
        <sz val="11"/>
        <rFont val="WenQuanYi Zen Hei"/>
        <family val="2"/>
      </rPr>
      <t xml:space="preserve">년도 </t>
    </r>
    <r>
      <rPr>
        <b val="true"/>
        <sz val="11"/>
        <rFont val="맑은 고딕"/>
        <family val="0"/>
        <charset val="1"/>
      </rPr>
      <t xml:space="preserve">1</t>
    </r>
  </si>
  <si>
    <r>
      <rPr>
        <b val="true"/>
        <sz val="11"/>
        <rFont val="WenQuanYi Zen Hei"/>
        <family val="2"/>
      </rPr>
      <t xml:space="preserve">년도 </t>
    </r>
    <r>
      <rPr>
        <b val="true"/>
        <sz val="11"/>
        <rFont val="맑은 고딕"/>
        <family val="0"/>
        <charset val="1"/>
      </rPr>
      <t xml:space="preserve">2</t>
    </r>
  </si>
  <si>
    <r>
      <rPr>
        <b val="true"/>
        <sz val="11"/>
        <rFont val="WenQuanYi Zen Hei"/>
        <family val="2"/>
      </rPr>
      <t xml:space="preserve">시즌 </t>
    </r>
    <r>
      <rPr>
        <b val="true"/>
        <sz val="11"/>
        <rFont val="맑은 고딕"/>
        <family val="0"/>
        <charset val="1"/>
      </rPr>
      <t xml:space="preserve">1</t>
    </r>
  </si>
  <si>
    <t xml:space="preserve">SS</t>
  </si>
  <si>
    <r>
      <rPr>
        <b val="true"/>
        <sz val="11"/>
        <rFont val="WenQuanYi Zen Hei"/>
        <family val="2"/>
      </rPr>
      <t xml:space="preserve">시즌 </t>
    </r>
    <r>
      <rPr>
        <b val="true"/>
        <sz val="11"/>
        <rFont val="맑은 고딕"/>
        <family val="0"/>
        <charset val="1"/>
      </rPr>
      <t xml:space="preserve">2</t>
    </r>
  </si>
  <si>
    <t xml:space="preserve">FW</t>
  </si>
  <si>
    <r>
      <rPr>
        <b val="true"/>
        <sz val="11"/>
        <rFont val="WenQuanYi Zen Hei"/>
        <family val="2"/>
      </rPr>
      <t xml:space="preserve">품목 </t>
    </r>
    <r>
      <rPr>
        <b val="true"/>
        <sz val="11"/>
        <rFont val="맑은 고딕"/>
        <family val="0"/>
        <charset val="1"/>
      </rPr>
      <t xml:space="preserve">1</t>
    </r>
  </si>
  <si>
    <t xml:space="preserve">아우터</t>
  </si>
  <si>
    <r>
      <rPr>
        <b val="true"/>
        <sz val="11"/>
        <rFont val="WenQuanYi Zen Hei"/>
        <family val="2"/>
      </rPr>
      <t xml:space="preserve">품목 </t>
    </r>
    <r>
      <rPr>
        <b val="true"/>
        <sz val="11"/>
        <rFont val="맑은 고딕"/>
        <family val="0"/>
        <charset val="1"/>
      </rPr>
      <t xml:space="preserve">2</t>
    </r>
  </si>
  <si>
    <t xml:space="preserve">니트</t>
  </si>
  <si>
    <r>
      <rPr>
        <b val="true"/>
        <sz val="11"/>
        <rFont val="WenQuanYi Zen Hei"/>
        <family val="2"/>
      </rPr>
      <t xml:space="preserve">품목 </t>
    </r>
    <r>
      <rPr>
        <b val="true"/>
        <sz val="11"/>
        <rFont val="맑은 고딕"/>
        <family val="0"/>
        <charset val="1"/>
      </rPr>
      <t xml:space="preserve">3</t>
    </r>
  </si>
  <si>
    <t xml:space="preserve">셔츠</t>
  </si>
  <si>
    <r>
      <rPr>
        <b val="true"/>
        <sz val="11"/>
        <rFont val="WenQuanYi Zen Hei"/>
        <family val="2"/>
      </rPr>
      <t xml:space="preserve">품목 </t>
    </r>
    <r>
      <rPr>
        <b val="true"/>
        <sz val="11"/>
        <rFont val="맑은 고딕"/>
        <family val="0"/>
        <charset val="1"/>
      </rPr>
      <t xml:space="preserve">4</t>
    </r>
  </si>
  <si>
    <t xml:space="preserve">팬츠</t>
  </si>
  <si>
    <r>
      <rPr>
        <b val="true"/>
        <sz val="11"/>
        <rFont val="WenQuanYi Zen Hei"/>
        <family val="2"/>
      </rPr>
      <t xml:space="preserve">품목 </t>
    </r>
    <r>
      <rPr>
        <b val="true"/>
        <sz val="11"/>
        <rFont val="맑은 고딕"/>
        <family val="0"/>
        <charset val="1"/>
      </rPr>
      <t xml:space="preserve">5</t>
    </r>
  </si>
  <si>
    <t xml:space="preserve">스커트</t>
  </si>
  <si>
    <r>
      <rPr>
        <b val="true"/>
        <sz val="11"/>
        <rFont val="WenQuanYi Zen Hei"/>
        <family val="2"/>
      </rPr>
      <t xml:space="preserve">품목 </t>
    </r>
    <r>
      <rPr>
        <b val="true"/>
        <sz val="11"/>
        <rFont val="맑은 고딕"/>
        <family val="0"/>
        <charset val="1"/>
      </rPr>
      <t xml:space="preserve">6</t>
    </r>
  </si>
  <si>
    <t xml:space="preserve">원피스</t>
  </si>
  <si>
    <r>
      <rPr>
        <b val="true"/>
        <sz val="11"/>
        <rFont val="WenQuanYi Zen Hei"/>
        <family val="2"/>
      </rPr>
      <t xml:space="preserve">기준 년도 </t>
    </r>
    <r>
      <rPr>
        <b val="true"/>
        <sz val="11"/>
        <rFont val="맑은 고딕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차트용</t>
    </r>
    <r>
      <rPr>
        <b val="true"/>
        <sz val="11"/>
        <rFont val="맑은 고딕"/>
        <family val="0"/>
        <charset val="1"/>
      </rPr>
      <t xml:space="preserve">)</t>
    </r>
  </si>
  <si>
    <r>
      <rPr>
        <sz val="11"/>
        <color rgb="FF7F7F7F"/>
        <rFont val="WenQuanYi Zen Hei"/>
        <family val="2"/>
      </rPr>
      <t xml:space="preserve">← 목록에서 선택 </t>
    </r>
    <r>
      <rPr>
        <sz val="11"/>
        <color rgb="FF7F7F7F"/>
        <rFont val="맑은 고딕"/>
        <family val="0"/>
        <charset val="1"/>
      </rPr>
      <t xml:space="preserve">(</t>
    </r>
    <r>
      <rPr>
        <sz val="11"/>
        <color rgb="FF7F7F7F"/>
        <rFont val="WenQuanYi Zen Hei"/>
        <family val="2"/>
      </rPr>
      <t xml:space="preserve">구성비</t>
    </r>
    <r>
      <rPr>
        <sz val="11"/>
        <color rgb="FF7F7F7F"/>
        <rFont val="맑은 고딕"/>
        <family val="0"/>
        <charset val="1"/>
      </rPr>
      <t xml:space="preserve">·</t>
    </r>
    <r>
      <rPr>
        <sz val="11"/>
        <color rgb="FF7F7F7F"/>
        <rFont val="WenQuanYi Zen Hei"/>
        <family val="2"/>
      </rPr>
      <t xml:space="preserve">전년대비 차트 기준</t>
    </r>
    <r>
      <rPr>
        <sz val="11"/>
        <color rgb="FF7F7F7F"/>
        <rFont val="맑은 고딕"/>
        <family val="0"/>
        <charset val="1"/>
      </rPr>
      <t xml:space="preserve">)</t>
    </r>
  </si>
  <si>
    <r>
      <rPr>
        <b val="true"/>
        <sz val="11"/>
        <rFont val="WenQuanYi Zen Hei"/>
        <family val="2"/>
      </rPr>
      <t xml:space="preserve">기준 시즌 </t>
    </r>
    <r>
      <rPr>
        <b val="true"/>
        <sz val="11"/>
        <rFont val="맑은 고딕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차트용</t>
    </r>
    <r>
      <rPr>
        <b val="true"/>
        <sz val="11"/>
        <rFont val="맑은 고딕"/>
        <family val="0"/>
        <charset val="1"/>
      </rPr>
      <t xml:space="preserve">)</t>
    </r>
  </si>
  <si>
    <t xml:space="preserve">← 목록에서 선택</t>
  </si>
  <si>
    <r>
      <rPr>
        <b val="true"/>
        <sz val="14"/>
        <rFont val="WenQuanYi Zen Hei"/>
        <family val="2"/>
      </rPr>
      <t xml:space="preserve">원가 원본 데이터 </t>
    </r>
    <r>
      <rPr>
        <b val="true"/>
        <sz val="14"/>
        <rFont val="맑은 고딕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스타일 </t>
    </r>
    <r>
      <rPr>
        <b val="true"/>
        <sz val="14"/>
        <rFont val="맑은 고딕"/>
        <family val="0"/>
        <charset val="1"/>
      </rPr>
      <t xml:space="preserve">1</t>
    </r>
    <r>
      <rPr>
        <b val="true"/>
        <sz val="14"/>
        <rFont val="WenQuanYi Zen Hei"/>
        <family val="2"/>
      </rPr>
      <t xml:space="preserve">개 </t>
    </r>
    <r>
      <rPr>
        <b val="true"/>
        <sz val="14"/>
        <rFont val="맑은 고딕"/>
        <family val="0"/>
        <charset val="1"/>
      </rPr>
      <t xml:space="preserve">= 1</t>
    </r>
    <r>
      <rPr>
        <b val="true"/>
        <sz val="14"/>
        <rFont val="WenQuanYi Zen Hei"/>
        <family val="2"/>
      </rPr>
      <t xml:space="preserve">행</t>
    </r>
    <r>
      <rPr>
        <b val="true"/>
        <sz val="14"/>
        <rFont val="맑은 고딕"/>
        <family val="0"/>
        <charset val="1"/>
      </rPr>
      <t xml:space="preserve">)</t>
    </r>
  </si>
  <si>
    <r>
      <rPr>
        <i val="true"/>
        <sz val="11"/>
        <color rgb="FFC00000"/>
        <rFont val="WenQuanYi Zen Hei"/>
        <family val="2"/>
      </rPr>
      <t xml:space="preserve">※ 현재는 가상 데이터입니다</t>
    </r>
    <r>
      <rPr>
        <i val="true"/>
        <sz val="11"/>
        <color rgb="FFC00000"/>
        <rFont val="맑은 고딕"/>
        <family val="0"/>
        <charset val="1"/>
      </rPr>
      <t xml:space="preserve">. </t>
    </r>
    <r>
      <rPr>
        <i val="true"/>
        <sz val="11"/>
        <color rgb="FFC00000"/>
        <rFont val="WenQuanYi Zen Hei"/>
        <family val="2"/>
      </rPr>
      <t xml:space="preserve">내일 </t>
    </r>
    <r>
      <rPr>
        <i val="true"/>
        <sz val="11"/>
        <color rgb="FFC00000"/>
        <rFont val="맑은 고딕"/>
        <family val="0"/>
        <charset val="1"/>
      </rPr>
      <t xml:space="preserve">4</t>
    </r>
    <r>
      <rPr>
        <i val="true"/>
        <sz val="11"/>
        <color rgb="FFC00000"/>
        <rFont val="WenQuanYi Zen Hei"/>
        <family val="2"/>
      </rPr>
      <t xml:space="preserve">행부터 실제 데이터를 붙여넣으면</t>
    </r>
    <r>
      <rPr>
        <i val="true"/>
        <sz val="11"/>
        <color rgb="FFC00000"/>
        <rFont val="맑은 고딕"/>
        <family val="0"/>
        <charset val="1"/>
      </rPr>
      <t xml:space="preserve">(</t>
    </r>
    <r>
      <rPr>
        <i val="true"/>
        <sz val="11"/>
        <color rgb="FFC00000"/>
        <rFont val="WenQuanYi Zen Hei"/>
        <family val="2"/>
      </rPr>
      <t xml:space="preserve">기존 행 삭제 후</t>
    </r>
    <r>
      <rPr>
        <i val="true"/>
        <sz val="11"/>
        <color rgb="FFC00000"/>
        <rFont val="맑은 고딕"/>
        <family val="0"/>
        <charset val="1"/>
      </rPr>
      <t xml:space="preserve">) </t>
    </r>
    <r>
      <rPr>
        <i val="true"/>
        <sz val="11"/>
        <color rgb="FFC00000"/>
        <rFont val="WenQuanYi Zen Hei"/>
        <family val="2"/>
      </rPr>
      <t xml:space="preserve">비교표</t>
    </r>
    <r>
      <rPr>
        <i val="true"/>
        <sz val="11"/>
        <color rgb="FFC00000"/>
        <rFont val="맑은 고딕"/>
        <family val="0"/>
        <charset val="1"/>
      </rPr>
      <t xml:space="preserve">·</t>
    </r>
    <r>
      <rPr>
        <i val="true"/>
        <sz val="11"/>
        <color rgb="FFC00000"/>
        <rFont val="WenQuanYi Zen Hei"/>
        <family val="2"/>
      </rPr>
      <t xml:space="preserve">차트가 자동으로 바뀝니다</t>
    </r>
    <r>
      <rPr>
        <i val="true"/>
        <sz val="11"/>
        <color rgb="FFC00000"/>
        <rFont val="맑은 고딕"/>
        <family val="0"/>
        <charset val="1"/>
      </rPr>
      <t xml:space="preserve">. </t>
    </r>
    <r>
      <rPr>
        <i val="true"/>
        <sz val="11"/>
        <color rgb="FFC00000"/>
        <rFont val="WenQuanYi Zen Hei"/>
        <family val="2"/>
      </rPr>
      <t xml:space="preserve">행 수 제한 없음</t>
    </r>
    <r>
      <rPr>
        <i val="true"/>
        <sz val="11"/>
        <color rgb="FFC00000"/>
        <rFont val="맑은 고딕"/>
        <family val="0"/>
        <charset val="1"/>
      </rPr>
      <t xml:space="preserve">. </t>
    </r>
    <r>
      <rPr>
        <i val="true"/>
        <sz val="11"/>
        <color rgb="FFC00000"/>
        <rFont val="WenQuanYi Zen Hei"/>
        <family val="2"/>
      </rPr>
      <t xml:space="preserve">단위</t>
    </r>
    <r>
      <rPr>
        <i val="true"/>
        <sz val="11"/>
        <color rgb="FFC00000"/>
        <rFont val="맑은 고딕"/>
        <family val="0"/>
        <charset val="1"/>
      </rPr>
      <t xml:space="preserve">: </t>
    </r>
    <r>
      <rPr>
        <i val="true"/>
        <sz val="11"/>
        <color rgb="FFC00000"/>
        <rFont val="WenQuanYi Zen Hei"/>
        <family val="2"/>
      </rPr>
      <t xml:space="preserve">원</t>
    </r>
  </si>
  <si>
    <t xml:space="preserve">년도</t>
  </si>
  <si>
    <t xml:space="preserve">시즌</t>
  </si>
  <si>
    <t xml:space="preserve">품목</t>
  </si>
  <si>
    <t xml:space="preserve">스타일번호</t>
  </si>
  <si>
    <t xml:space="preserve">원자재</t>
  </si>
  <si>
    <t xml:space="preserve">부자재</t>
  </si>
  <si>
    <t xml:space="preserve">가공임</t>
  </si>
  <si>
    <t xml:space="preserve">입력 규칙</t>
  </si>
  <si>
    <t xml:space="preserve">25SS-0101</t>
  </si>
  <si>
    <r>
      <rPr>
        <sz val="11"/>
        <rFont val="WenQuanYi Zen Hei"/>
        <family val="2"/>
      </rPr>
      <t xml:space="preserve">• 브랜드</t>
    </r>
    <r>
      <rPr>
        <sz val="11"/>
        <rFont val="맑은 고딕"/>
        <family val="0"/>
        <charset val="1"/>
      </rPr>
      <t xml:space="preserve">: </t>
    </r>
    <r>
      <rPr>
        <sz val="11"/>
        <rFont val="WenQuanYi Zen Hei"/>
        <family val="2"/>
      </rPr>
      <t xml:space="preserve">설정 시트 브랜드명과 동일</t>
    </r>
  </si>
  <si>
    <t xml:space="preserve">25SS-0102</t>
  </si>
  <si>
    <r>
      <rPr>
        <sz val="11"/>
        <rFont val="WenQuanYi Zen Hei"/>
        <family val="2"/>
      </rPr>
      <t xml:space="preserve">• 년도</t>
    </r>
    <r>
      <rPr>
        <sz val="11"/>
        <rFont val="맑은 고딕"/>
        <family val="0"/>
        <charset val="1"/>
      </rPr>
      <t xml:space="preserve">: </t>
    </r>
    <r>
      <rPr>
        <sz val="11"/>
        <rFont val="WenQuanYi Zen Hei"/>
        <family val="2"/>
      </rPr>
      <t xml:space="preserve">숫자 </t>
    </r>
    <r>
      <rPr>
        <sz val="11"/>
        <rFont val="맑은 고딕"/>
        <family val="0"/>
        <charset val="1"/>
      </rPr>
      <t xml:space="preserve">(</t>
    </r>
    <r>
      <rPr>
        <sz val="11"/>
        <rFont val="WenQuanYi Zen Hei"/>
        <family val="2"/>
      </rPr>
      <t xml:space="preserve">예</t>
    </r>
    <r>
      <rPr>
        <sz val="11"/>
        <rFont val="맑은 고딕"/>
        <family val="0"/>
        <charset val="1"/>
      </rPr>
      <t xml:space="preserve">: 2026)</t>
    </r>
  </si>
  <si>
    <t xml:space="preserve">25SS-0103</t>
  </si>
  <si>
    <r>
      <rPr>
        <sz val="11"/>
        <rFont val="WenQuanYi Zen Hei"/>
        <family val="2"/>
      </rPr>
      <t xml:space="preserve">• 시즌</t>
    </r>
    <r>
      <rPr>
        <sz val="11"/>
        <rFont val="맑은 고딕"/>
        <family val="0"/>
        <charset val="1"/>
      </rPr>
      <t xml:space="preserve">: SS </t>
    </r>
    <r>
      <rPr>
        <sz val="11"/>
        <rFont val="WenQuanYi Zen Hei"/>
        <family val="2"/>
      </rPr>
      <t xml:space="preserve">또는 </t>
    </r>
    <r>
      <rPr>
        <sz val="11"/>
        <rFont val="맑은 고딕"/>
        <family val="0"/>
        <charset val="1"/>
      </rPr>
      <t xml:space="preserve">FW (</t>
    </r>
    <r>
      <rPr>
        <sz val="11"/>
        <rFont val="WenQuanYi Zen Hei"/>
        <family val="2"/>
      </rPr>
      <t xml:space="preserve">설정 시트와 동일</t>
    </r>
    <r>
      <rPr>
        <sz val="11"/>
        <rFont val="맑은 고딕"/>
        <family val="0"/>
        <charset val="1"/>
      </rPr>
      <t xml:space="preserve">)</t>
    </r>
  </si>
  <si>
    <t xml:space="preserve">25SS-0104</t>
  </si>
  <si>
    <r>
      <rPr>
        <sz val="11"/>
        <rFont val="WenQuanYi Zen Hei"/>
        <family val="2"/>
      </rPr>
      <t xml:space="preserve">• 품목</t>
    </r>
    <r>
      <rPr>
        <sz val="11"/>
        <rFont val="맑은 고딕"/>
        <family val="0"/>
        <charset val="1"/>
      </rPr>
      <t xml:space="preserve">: </t>
    </r>
    <r>
      <rPr>
        <sz val="11"/>
        <rFont val="WenQuanYi Zen Hei"/>
        <family val="2"/>
      </rPr>
      <t xml:space="preserve">설정 시트의 </t>
    </r>
    <r>
      <rPr>
        <sz val="11"/>
        <rFont val="맑은 고딕"/>
        <family val="0"/>
        <charset val="1"/>
      </rPr>
      <t xml:space="preserve">6</t>
    </r>
    <r>
      <rPr>
        <sz val="11"/>
        <rFont val="WenQuanYi Zen Hei"/>
        <family val="2"/>
      </rPr>
      <t xml:space="preserve">개 품목명과 동일</t>
    </r>
  </si>
  <si>
    <t xml:space="preserve">25SS-0105</t>
  </si>
  <si>
    <r>
      <rPr>
        <sz val="11"/>
        <rFont val="WenQuanYi Zen Hei"/>
        <family val="2"/>
      </rPr>
      <t xml:space="preserve">• 원자재</t>
    </r>
    <r>
      <rPr>
        <sz val="11"/>
        <rFont val="맑은 고딕"/>
        <family val="0"/>
        <charset val="1"/>
      </rPr>
      <t xml:space="preserve">/</t>
    </r>
    <r>
      <rPr>
        <sz val="11"/>
        <rFont val="WenQuanYi Zen Hei"/>
        <family val="2"/>
      </rPr>
      <t xml:space="preserve">부자재</t>
    </r>
    <r>
      <rPr>
        <sz val="11"/>
        <rFont val="맑은 고딕"/>
        <family val="0"/>
        <charset val="1"/>
      </rPr>
      <t xml:space="preserve">/</t>
    </r>
    <r>
      <rPr>
        <sz val="11"/>
        <rFont val="WenQuanYi Zen Hei"/>
        <family val="2"/>
      </rPr>
      <t xml:space="preserve">가공임</t>
    </r>
    <r>
      <rPr>
        <sz val="11"/>
        <rFont val="맑은 고딕"/>
        <family val="0"/>
        <charset val="1"/>
      </rPr>
      <t xml:space="preserve">: </t>
    </r>
    <r>
      <rPr>
        <sz val="11"/>
        <rFont val="WenQuanYi Zen Hei"/>
        <family val="2"/>
      </rPr>
      <t xml:space="preserve">숫자 </t>
    </r>
    <r>
      <rPr>
        <sz val="11"/>
        <rFont val="맑은 고딕"/>
        <family val="0"/>
        <charset val="1"/>
      </rPr>
      <t xml:space="preserve">(</t>
    </r>
    <r>
      <rPr>
        <sz val="11"/>
        <rFont val="WenQuanYi Zen Hei"/>
        <family val="2"/>
      </rPr>
      <t xml:space="preserve">원</t>
    </r>
    <r>
      <rPr>
        <sz val="11"/>
        <rFont val="맑은 고딕"/>
        <family val="0"/>
        <charset val="1"/>
      </rPr>
      <t xml:space="preserve">)</t>
    </r>
  </si>
  <si>
    <t xml:space="preserve">25SS-0106</t>
  </si>
  <si>
    <r>
      <rPr>
        <sz val="11"/>
        <rFont val="WenQuanYi Zen Hei"/>
        <family val="2"/>
      </rPr>
      <t xml:space="preserve">• 예시 행</t>
    </r>
    <r>
      <rPr>
        <sz val="11"/>
        <rFont val="맑은 고딕"/>
        <family val="0"/>
        <charset val="1"/>
      </rPr>
      <t xml:space="preserve">: </t>
    </r>
    <r>
      <rPr>
        <sz val="11"/>
        <rFont val="WenQuanYi Zen Hei"/>
        <family val="2"/>
      </rPr>
      <t xml:space="preserve">브랜드</t>
    </r>
    <r>
      <rPr>
        <sz val="11"/>
        <rFont val="맑은 고딕"/>
        <family val="0"/>
        <charset val="1"/>
      </rPr>
      <t xml:space="preserve">A | 2026 | FW | </t>
    </r>
    <r>
      <rPr>
        <sz val="11"/>
        <rFont val="WenQuanYi Zen Hei"/>
        <family val="2"/>
      </rPr>
      <t xml:space="preserve">아우터 </t>
    </r>
    <r>
      <rPr>
        <sz val="11"/>
        <rFont val="맑은 고딕"/>
        <family val="0"/>
        <charset val="1"/>
      </rPr>
      <t xml:space="preserve">| 26FW-0101 | 61,200 | 10,400 | 29,700</t>
    </r>
  </si>
  <si>
    <t xml:space="preserve">25SS-0107</t>
  </si>
  <si>
    <t xml:space="preserve">25SS-0108</t>
  </si>
  <si>
    <t xml:space="preserve">25SS-0109</t>
  </si>
  <si>
    <t xml:space="preserve">25SS-0110</t>
  </si>
  <si>
    <t xml:space="preserve">25SS-0201</t>
  </si>
  <si>
    <t xml:space="preserve">25SS-0202</t>
  </si>
  <si>
    <t xml:space="preserve">25SS-0203</t>
  </si>
  <si>
    <t xml:space="preserve">25SS-0204</t>
  </si>
  <si>
    <t xml:space="preserve">25SS-0205</t>
  </si>
  <si>
    <t xml:space="preserve">25SS-0206</t>
  </si>
  <si>
    <t xml:space="preserve">25SS-0207</t>
  </si>
  <si>
    <t xml:space="preserve">25SS-0208</t>
  </si>
  <si>
    <t xml:space="preserve">25SS-0209</t>
  </si>
  <si>
    <t xml:space="preserve">25SS-0301</t>
  </si>
  <si>
    <t xml:space="preserve">25SS-0302</t>
  </si>
  <si>
    <t xml:space="preserve">25SS-0303</t>
  </si>
  <si>
    <t xml:space="preserve">25SS-0304</t>
  </si>
  <si>
    <t xml:space="preserve">25SS-0305</t>
  </si>
  <si>
    <t xml:space="preserve">25SS-0306</t>
  </si>
  <si>
    <t xml:space="preserve">25SS-0307</t>
  </si>
  <si>
    <t xml:space="preserve">25SS-0308</t>
  </si>
  <si>
    <t xml:space="preserve">25SS-0309</t>
  </si>
  <si>
    <t xml:space="preserve">25SS-0310</t>
  </si>
  <si>
    <t xml:space="preserve">25SS-0311</t>
  </si>
  <si>
    <t xml:space="preserve">25SS-0312</t>
  </si>
  <si>
    <t xml:space="preserve">25SS-0401</t>
  </si>
  <si>
    <t xml:space="preserve">25SS-0402</t>
  </si>
  <si>
    <t xml:space="preserve">25SS-0403</t>
  </si>
  <si>
    <t xml:space="preserve">25SS-0404</t>
  </si>
  <si>
    <t xml:space="preserve">25SS-0405</t>
  </si>
  <si>
    <t xml:space="preserve">25SS-0406</t>
  </si>
  <si>
    <t xml:space="preserve">25SS-0407</t>
  </si>
  <si>
    <t xml:space="preserve">25SS-0408</t>
  </si>
  <si>
    <t xml:space="preserve">25SS-0409</t>
  </si>
  <si>
    <t xml:space="preserve">25SS-0410</t>
  </si>
  <si>
    <t xml:space="preserve">25SS-0411</t>
  </si>
  <si>
    <t xml:space="preserve">25SS-0501</t>
  </si>
  <si>
    <t xml:space="preserve">25SS-0502</t>
  </si>
  <si>
    <t xml:space="preserve">25SS-0503</t>
  </si>
  <si>
    <t xml:space="preserve">25SS-0504</t>
  </si>
  <si>
    <t xml:space="preserve">25SS-0505</t>
  </si>
  <si>
    <t xml:space="preserve">25SS-0506</t>
  </si>
  <si>
    <t xml:space="preserve">25SS-0507</t>
  </si>
  <si>
    <t xml:space="preserve">25SS-0508</t>
  </si>
  <si>
    <t xml:space="preserve">25SS-0509</t>
  </si>
  <si>
    <t xml:space="preserve">25SS-0510</t>
  </si>
  <si>
    <t xml:space="preserve">25SS-0511</t>
  </si>
  <si>
    <t xml:space="preserve">25SS-0512</t>
  </si>
  <si>
    <t xml:space="preserve">25SS-0601</t>
  </si>
  <si>
    <t xml:space="preserve">25SS-0602</t>
  </si>
  <si>
    <t xml:space="preserve">25SS-0603</t>
  </si>
  <si>
    <t xml:space="preserve">25SS-0604</t>
  </si>
  <si>
    <t xml:space="preserve">25SS-0605</t>
  </si>
  <si>
    <t xml:space="preserve">25SS-0606</t>
  </si>
  <si>
    <t xml:space="preserve">25SS-0607</t>
  </si>
  <si>
    <t xml:space="preserve">25SS-0608</t>
  </si>
  <si>
    <t xml:space="preserve">25SS-0609</t>
  </si>
  <si>
    <t xml:space="preserve">25FW-0101</t>
  </si>
  <si>
    <t xml:space="preserve">25FW-0102</t>
  </si>
  <si>
    <t xml:space="preserve">25FW-0103</t>
  </si>
  <si>
    <t xml:space="preserve">25FW-0104</t>
  </si>
  <si>
    <t xml:space="preserve">25FW-0105</t>
  </si>
  <si>
    <t xml:space="preserve">25FW-0106</t>
  </si>
  <si>
    <t xml:space="preserve">25FW-0107</t>
  </si>
  <si>
    <t xml:space="preserve">25FW-0108</t>
  </si>
  <si>
    <t xml:space="preserve">25FW-0109</t>
  </si>
  <si>
    <t xml:space="preserve">25FW-0201</t>
  </si>
  <si>
    <t xml:space="preserve">25FW-0202</t>
  </si>
  <si>
    <t xml:space="preserve">25FW-0203</t>
  </si>
  <si>
    <t xml:space="preserve">25FW-0204</t>
  </si>
  <si>
    <t xml:space="preserve">25FW-0205</t>
  </si>
  <si>
    <t xml:space="preserve">25FW-0206</t>
  </si>
  <si>
    <t xml:space="preserve">25FW-0207</t>
  </si>
  <si>
    <t xml:space="preserve">25FW-0208</t>
  </si>
  <si>
    <t xml:space="preserve">25FW-0209</t>
  </si>
  <si>
    <t xml:space="preserve">25FW-0210</t>
  </si>
  <si>
    <t xml:space="preserve">25FW-0211</t>
  </si>
  <si>
    <t xml:space="preserve">25FW-0212</t>
  </si>
  <si>
    <t xml:space="preserve">25FW-0301</t>
  </si>
  <si>
    <t xml:space="preserve">25FW-0302</t>
  </si>
  <si>
    <t xml:space="preserve">25FW-0303</t>
  </si>
  <si>
    <t xml:space="preserve">25FW-0304</t>
  </si>
  <si>
    <t xml:space="preserve">25FW-0305</t>
  </si>
  <si>
    <t xml:space="preserve">25FW-0306</t>
  </si>
  <si>
    <t xml:space="preserve">25FW-0307</t>
  </si>
  <si>
    <t xml:space="preserve">25FW-0308</t>
  </si>
  <si>
    <t xml:space="preserve">25FW-0309</t>
  </si>
  <si>
    <t xml:space="preserve">25FW-0401</t>
  </si>
  <si>
    <t xml:space="preserve">25FW-0402</t>
  </si>
  <si>
    <t xml:space="preserve">25FW-0403</t>
  </si>
  <si>
    <t xml:space="preserve">25FW-0404</t>
  </si>
  <si>
    <t xml:space="preserve">25FW-0405</t>
  </si>
  <si>
    <t xml:space="preserve">25FW-0406</t>
  </si>
  <si>
    <t xml:space="preserve">25FW-0407</t>
  </si>
  <si>
    <t xml:space="preserve">25FW-0408</t>
  </si>
  <si>
    <t xml:space="preserve">25FW-0409</t>
  </si>
  <si>
    <t xml:space="preserve">25FW-0410</t>
  </si>
  <si>
    <t xml:space="preserve">25FW-0501</t>
  </si>
  <si>
    <t xml:space="preserve">25FW-0502</t>
  </si>
  <si>
    <t xml:space="preserve">25FW-0503</t>
  </si>
  <si>
    <t xml:space="preserve">25FW-0504</t>
  </si>
  <si>
    <t xml:space="preserve">25FW-0505</t>
  </si>
  <si>
    <t xml:space="preserve">25FW-0506</t>
  </si>
  <si>
    <t xml:space="preserve">25FW-0507</t>
  </si>
  <si>
    <t xml:space="preserve">25FW-0508</t>
  </si>
  <si>
    <t xml:space="preserve">25FW-0601</t>
  </si>
  <si>
    <t xml:space="preserve">25FW-0602</t>
  </si>
  <si>
    <t xml:space="preserve">25FW-0603</t>
  </si>
  <si>
    <t xml:space="preserve">25FW-0604</t>
  </si>
  <si>
    <t xml:space="preserve">25FW-0605</t>
  </si>
  <si>
    <t xml:space="preserve">25FW-0606</t>
  </si>
  <si>
    <t xml:space="preserve">25FW-0607</t>
  </si>
  <si>
    <t xml:space="preserve">25FW-0608</t>
  </si>
  <si>
    <t xml:space="preserve">25FW-0609</t>
  </si>
  <si>
    <t xml:space="preserve">25FW-0610</t>
  </si>
  <si>
    <t xml:space="preserve">25FW-0611</t>
  </si>
  <si>
    <t xml:space="preserve">25FW-0612</t>
  </si>
  <si>
    <t xml:space="preserve">26SS-0101</t>
  </si>
  <si>
    <t xml:space="preserve">26SS-0102</t>
  </si>
  <si>
    <t xml:space="preserve">26SS-0103</t>
  </si>
  <si>
    <t xml:space="preserve">26SS-0104</t>
  </si>
  <si>
    <t xml:space="preserve">26SS-0105</t>
  </si>
  <si>
    <t xml:space="preserve">26SS-0106</t>
  </si>
  <si>
    <t xml:space="preserve">26SS-0107</t>
  </si>
  <si>
    <t xml:space="preserve">26SS-0108</t>
  </si>
  <si>
    <t xml:space="preserve">26SS-0109</t>
  </si>
  <si>
    <t xml:space="preserve">26SS-0110</t>
  </si>
  <si>
    <t xml:space="preserve">26SS-0111</t>
  </si>
  <si>
    <t xml:space="preserve">26SS-0112</t>
  </si>
  <si>
    <t xml:space="preserve">26SS-0201</t>
  </si>
  <si>
    <t xml:space="preserve">26SS-0202</t>
  </si>
  <si>
    <t xml:space="preserve">26SS-0203</t>
  </si>
  <si>
    <t xml:space="preserve">26SS-0204</t>
  </si>
  <si>
    <t xml:space="preserve">26SS-0205</t>
  </si>
  <si>
    <t xml:space="preserve">26SS-0206</t>
  </si>
  <si>
    <t xml:space="preserve">26SS-0207</t>
  </si>
  <si>
    <t xml:space="preserve">26SS-0208</t>
  </si>
  <si>
    <t xml:space="preserve">26SS-0209</t>
  </si>
  <si>
    <t xml:space="preserve">26SS-0210</t>
  </si>
  <si>
    <t xml:space="preserve">26SS-0301</t>
  </si>
  <si>
    <t xml:space="preserve">26SS-0302</t>
  </si>
  <si>
    <t xml:space="preserve">26SS-0303</t>
  </si>
  <si>
    <t xml:space="preserve">26SS-0304</t>
  </si>
  <si>
    <t xml:space="preserve">26SS-0305</t>
  </si>
  <si>
    <t xml:space="preserve">26SS-0306</t>
  </si>
  <si>
    <t xml:space="preserve">26SS-0307</t>
  </si>
  <si>
    <t xml:space="preserve">26SS-0308</t>
  </si>
  <si>
    <t xml:space="preserve">26SS-0309</t>
  </si>
  <si>
    <t xml:space="preserve">26SS-0310</t>
  </si>
  <si>
    <t xml:space="preserve">26SS-0311</t>
  </si>
  <si>
    <t xml:space="preserve">26SS-0312</t>
  </si>
  <si>
    <t xml:space="preserve">26SS-0401</t>
  </si>
  <si>
    <t xml:space="preserve">26SS-0402</t>
  </si>
  <si>
    <t xml:space="preserve">26SS-0403</t>
  </si>
  <si>
    <t xml:space="preserve">26SS-0404</t>
  </si>
  <si>
    <t xml:space="preserve">26SS-0405</t>
  </si>
  <si>
    <t xml:space="preserve">26SS-0406</t>
  </si>
  <si>
    <t xml:space="preserve">26SS-0407</t>
  </si>
  <si>
    <t xml:space="preserve">26SS-0408</t>
  </si>
  <si>
    <t xml:space="preserve">26SS-0409</t>
  </si>
  <si>
    <t xml:space="preserve">26SS-0410</t>
  </si>
  <si>
    <t xml:space="preserve">26SS-0501</t>
  </si>
  <si>
    <t xml:space="preserve">26SS-0502</t>
  </si>
  <si>
    <t xml:space="preserve">26SS-0503</t>
  </si>
  <si>
    <t xml:space="preserve">26SS-0504</t>
  </si>
  <si>
    <t xml:space="preserve">26SS-0505</t>
  </si>
  <si>
    <t xml:space="preserve">26SS-0506</t>
  </si>
  <si>
    <t xml:space="preserve">26SS-0507</t>
  </si>
  <si>
    <t xml:space="preserve">26SS-0508</t>
  </si>
  <si>
    <t xml:space="preserve">26SS-0509</t>
  </si>
  <si>
    <t xml:space="preserve">26SS-0510</t>
  </si>
  <si>
    <t xml:space="preserve">26SS-0511</t>
  </si>
  <si>
    <t xml:space="preserve">26SS-0512</t>
  </si>
  <si>
    <t xml:space="preserve">26SS-0601</t>
  </si>
  <si>
    <t xml:space="preserve">26SS-0602</t>
  </si>
  <si>
    <t xml:space="preserve">26SS-0603</t>
  </si>
  <si>
    <t xml:space="preserve">26SS-0604</t>
  </si>
  <si>
    <t xml:space="preserve">26SS-0605</t>
  </si>
  <si>
    <t xml:space="preserve">26SS-0606</t>
  </si>
  <si>
    <t xml:space="preserve">26SS-0607</t>
  </si>
  <si>
    <t xml:space="preserve">26SS-0608</t>
  </si>
  <si>
    <t xml:space="preserve">26FW-0101</t>
  </si>
  <si>
    <t xml:space="preserve">26FW-0102</t>
  </si>
  <si>
    <t xml:space="preserve">26FW-0103</t>
  </si>
  <si>
    <t xml:space="preserve">26FW-0104</t>
  </si>
  <si>
    <t xml:space="preserve">26FW-0105</t>
  </si>
  <si>
    <t xml:space="preserve">26FW-0106</t>
  </si>
  <si>
    <t xml:space="preserve">26FW-0107</t>
  </si>
  <si>
    <t xml:space="preserve">26FW-0108</t>
  </si>
  <si>
    <t xml:space="preserve">26FW-0109</t>
  </si>
  <si>
    <t xml:space="preserve">26FW-0110</t>
  </si>
  <si>
    <t xml:space="preserve">26FW-0111</t>
  </si>
  <si>
    <t xml:space="preserve">26FW-0201</t>
  </si>
  <si>
    <t xml:space="preserve">26FW-0202</t>
  </si>
  <si>
    <t xml:space="preserve">26FW-0203</t>
  </si>
  <si>
    <t xml:space="preserve">26FW-0204</t>
  </si>
  <si>
    <t xml:space="preserve">26FW-0205</t>
  </si>
  <si>
    <t xml:space="preserve">26FW-0206</t>
  </si>
  <si>
    <t xml:space="preserve">26FW-0207</t>
  </si>
  <si>
    <t xml:space="preserve">26FW-0208</t>
  </si>
  <si>
    <t xml:space="preserve">26FW-0209</t>
  </si>
  <si>
    <t xml:space="preserve">26FW-0301</t>
  </si>
  <si>
    <t xml:space="preserve">26FW-0302</t>
  </si>
  <si>
    <t xml:space="preserve">26FW-0303</t>
  </si>
  <si>
    <t xml:space="preserve">26FW-0304</t>
  </si>
  <si>
    <t xml:space="preserve">26FW-0305</t>
  </si>
  <si>
    <t xml:space="preserve">26FW-0306</t>
  </si>
  <si>
    <t xml:space="preserve">26FW-0307</t>
  </si>
  <si>
    <t xml:space="preserve">26FW-0308</t>
  </si>
  <si>
    <t xml:space="preserve">26FW-0401</t>
  </si>
  <si>
    <t xml:space="preserve">26FW-0402</t>
  </si>
  <si>
    <t xml:space="preserve">26FW-0403</t>
  </si>
  <si>
    <t xml:space="preserve">26FW-0404</t>
  </si>
  <si>
    <t xml:space="preserve">26FW-0405</t>
  </si>
  <si>
    <t xml:space="preserve">26FW-0406</t>
  </si>
  <si>
    <t xml:space="preserve">26FW-0407</t>
  </si>
  <si>
    <t xml:space="preserve">26FW-0408</t>
  </si>
  <si>
    <t xml:space="preserve">26FW-0409</t>
  </si>
  <si>
    <t xml:space="preserve">26FW-0501</t>
  </si>
  <si>
    <t xml:space="preserve">26FW-0502</t>
  </si>
  <si>
    <t xml:space="preserve">26FW-0503</t>
  </si>
  <si>
    <t xml:space="preserve">26FW-0504</t>
  </si>
  <si>
    <t xml:space="preserve">26FW-0505</t>
  </si>
  <si>
    <t xml:space="preserve">26FW-0506</t>
  </si>
  <si>
    <t xml:space="preserve">26FW-0507</t>
  </si>
  <si>
    <t xml:space="preserve">26FW-0508</t>
  </si>
  <si>
    <t xml:space="preserve">26FW-0601</t>
  </si>
  <si>
    <t xml:space="preserve">26FW-0602</t>
  </si>
  <si>
    <t xml:space="preserve">26FW-0603</t>
  </si>
  <si>
    <t xml:space="preserve">26FW-0604</t>
  </si>
  <si>
    <t xml:space="preserve">26FW-0605</t>
  </si>
  <si>
    <t xml:space="preserve">26FW-0606</t>
  </si>
  <si>
    <t xml:space="preserve">26FW-0607</t>
  </si>
  <si>
    <t xml:space="preserve">26FW-0608</t>
  </si>
  <si>
    <t xml:space="preserve">26FW-0609</t>
  </si>
  <si>
    <t xml:space="preserve">26FW-0610</t>
  </si>
  <si>
    <t xml:space="preserve">26FW-0611</t>
  </si>
  <si>
    <t xml:space="preserve">26FW-0612</t>
  </si>
  <si>
    <r>
      <rPr>
        <b val="true"/>
        <sz val="14"/>
        <rFont val="WenQuanYi Zen Hei"/>
        <family val="2"/>
      </rPr>
      <t xml:space="preserve">피벗 테이블 </t>
    </r>
    <r>
      <rPr>
        <b val="true"/>
        <sz val="14"/>
        <rFont val="맑은 고딕"/>
        <family val="0"/>
        <charset val="1"/>
      </rPr>
      <t xml:space="preserve">(RawData </t>
    </r>
    <r>
      <rPr>
        <b val="true"/>
        <sz val="14"/>
        <rFont val="WenQuanYi Zen Hei"/>
        <family val="2"/>
      </rPr>
      <t xml:space="preserve">기반</t>
    </r>
    <r>
      <rPr>
        <b val="true"/>
        <sz val="14"/>
        <rFont val="맑은 고딕"/>
        <family val="0"/>
        <charset val="1"/>
      </rPr>
      <t xml:space="preserve">)</t>
    </r>
  </si>
  <si>
    <t xml:space="preserve">필터</t>
  </si>
  <si>
    <t xml:space="preserve">(모두)</t>
  </si>
  <si>
    <t xml:space="preserve">Data</t>
  </si>
  <si>
    <r>
      <rPr>
        <sz val="11"/>
        <color theme="1"/>
        <rFont val="Calibri"/>
        <family val="2"/>
        <charset val="1"/>
      </rPr>
      <t xml:space="preserve">평균 : </t>
    </r>
    <r>
      <rPr>
        <sz val="11"/>
        <color theme="1"/>
        <rFont val="WenQuanYi Zen Hei"/>
        <family val="2"/>
      </rPr>
      <t xml:space="preserve">원자재</t>
    </r>
  </si>
  <si>
    <r>
      <rPr>
        <sz val="11"/>
        <color theme="1"/>
        <rFont val="Calibri"/>
        <family val="2"/>
        <charset val="1"/>
      </rPr>
      <t xml:space="preserve">평균 : </t>
    </r>
    <r>
      <rPr>
        <sz val="11"/>
        <color theme="1"/>
        <rFont val="WenQuanYi Zen Hei"/>
        <family val="2"/>
      </rPr>
      <t xml:space="preserve">부자재</t>
    </r>
  </si>
  <si>
    <r>
      <rPr>
        <sz val="11"/>
        <color theme="1"/>
        <rFont val="Calibri"/>
        <family val="2"/>
        <charset val="1"/>
      </rPr>
      <t xml:space="preserve">평균 : </t>
    </r>
    <r>
      <rPr>
        <sz val="11"/>
        <color theme="1"/>
        <rFont val="WenQuanYi Zen Hei"/>
        <family val="2"/>
      </rPr>
      <t xml:space="preserve">가공임</t>
    </r>
  </si>
  <si>
    <t xml:space="preserve">Total Result</t>
  </si>
  <si>
    <r>
      <rPr>
        <b val="true"/>
        <sz val="14"/>
        <rFont val="WenQuanYi Zen Hei"/>
        <family val="2"/>
      </rPr>
      <t xml:space="preserve">년도</t>
    </r>
    <r>
      <rPr>
        <b val="true"/>
        <sz val="14"/>
        <rFont val="맑은 고딕"/>
        <family val="0"/>
        <charset val="1"/>
      </rPr>
      <t xml:space="preserve">·</t>
    </r>
    <r>
      <rPr>
        <b val="true"/>
        <sz val="14"/>
        <rFont val="WenQuanYi Zen Hei"/>
        <family val="2"/>
      </rPr>
      <t xml:space="preserve">시즌</t>
    </r>
    <r>
      <rPr>
        <b val="true"/>
        <sz val="14"/>
        <rFont val="맑은 고딕"/>
        <family val="0"/>
        <charset val="1"/>
      </rPr>
      <t xml:space="preserve">·</t>
    </r>
    <r>
      <rPr>
        <b val="true"/>
        <sz val="14"/>
        <rFont val="WenQuanYi Zen Hei"/>
        <family val="2"/>
      </rPr>
      <t xml:space="preserve">품목별 평균 원가 비교표</t>
    </r>
  </si>
  <si>
    <t xml:space="preserve">년도시즌</t>
  </si>
  <si>
    <t xml:space="preserve">스타일수</t>
  </si>
  <si>
    <t xml:space="preserve">총원가</t>
  </si>
  <si>
    <t xml:space="preserve">원자재 비중</t>
  </si>
  <si>
    <t xml:space="preserve">부자재 비중</t>
  </si>
  <si>
    <t xml:space="preserve">가공임 비중</t>
  </si>
  <si>
    <r>
      <rPr>
        <b val="true"/>
        <sz val="14"/>
        <rFont val="WenQuanYi Zen Hei"/>
        <family val="2"/>
      </rPr>
      <t xml:space="preserve">차트용 집계표 </t>
    </r>
    <r>
      <rPr>
        <b val="true"/>
        <sz val="14"/>
        <rFont val="맑은 고딕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자동 계산 — 수정 불필요</t>
    </r>
    <r>
      <rPr>
        <b val="true"/>
        <sz val="14"/>
        <rFont val="맑은 고딕"/>
        <family val="0"/>
        <charset val="1"/>
      </rPr>
      <t xml:space="preserve">)</t>
    </r>
  </si>
  <si>
    <t xml:space="preserve">원자재 평균</t>
  </si>
  <si>
    <r>
      <rPr>
        <b val="true"/>
        <sz val="11"/>
        <color rgb="FFFFFFFF"/>
        <rFont val="맑은 고딕"/>
        <family val="0"/>
        <charset val="1"/>
      </rPr>
      <t xml:space="preserve">SS </t>
    </r>
    <r>
      <rPr>
        <b val="true"/>
        <sz val="11"/>
        <color rgb="FFFFFFFF"/>
        <rFont val="WenQuanYi Zen Hei"/>
        <family val="2"/>
      </rPr>
      <t xml:space="preserve">전년대비</t>
    </r>
  </si>
  <si>
    <r>
      <rPr>
        <b val="true"/>
        <sz val="11"/>
        <color rgb="FFFFFFFF"/>
        <rFont val="맑은 고딕"/>
        <family val="0"/>
        <charset val="1"/>
      </rPr>
      <t xml:space="preserve">FW </t>
    </r>
    <r>
      <rPr>
        <b val="true"/>
        <sz val="11"/>
        <color rgb="FFFFFFFF"/>
        <rFont val="WenQuanYi Zen Hei"/>
        <family val="2"/>
      </rPr>
      <t xml:space="preserve">전년대비</t>
    </r>
  </si>
  <si>
    <t xml:space="preserve">부자재 평균</t>
  </si>
  <si>
    <t xml:space="preserve">가공임 평균</t>
  </si>
  <si>
    <t xml:space="preserve">총원가 평균</t>
  </si>
  <si>
    <t xml:space="preserve">기준 시즌 품목별 원가 구성</t>
  </si>
  <si>
    <t xml:space="preserve">전년 총원가</t>
  </si>
  <si>
    <t xml:space="preserve">전년대비 증감률</t>
  </si>
  <si>
    <t xml:space="preserve">품목 평균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</si>
</sst>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%"/>
    <numFmt numFmtId="167" formatCode="0%"/>
    <numFmt numFmtId="168" formatCode="#,##0;\(#,##0\);\-"/>
    <numFmt numFmtId="169" formatCode="General"/>
    <numFmt numFmtId="170" formatCode="0.0%;\(0.0%\);\-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8"/>
      <name val="WenQuanYi Zen Hei"/>
      <family val="2"/>
    </font>
    <font>
      <sz val="11"/>
      <color rgb="FF7F7F7F"/>
      <name val="WenQuanYi Zen Hei"/>
      <family val="2"/>
    </font>
    <font>
      <b val="true"/>
      <sz val="18"/>
      <color rgb="FF000000"/>
      <name val="WenQuanYi Zen Hei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4"/>
      <name val="WenQuanYi Zen Hei"/>
      <family val="2"/>
    </font>
    <font>
      <i val="true"/>
      <sz val="11"/>
      <color rgb="FF7F7F7F"/>
      <name val="WenQuanYi Zen Hei"/>
      <family val="2"/>
    </font>
    <font>
      <i val="true"/>
      <sz val="11"/>
      <color rgb="FF7F7F7F"/>
      <name val="맑은 고딕"/>
      <family val="0"/>
      <charset val="1"/>
    </font>
    <font>
      <b val="true"/>
      <sz val="11"/>
      <name val="WenQuanYi Zen Hei"/>
      <family val="2"/>
    </font>
    <font>
      <sz val="11"/>
      <color rgb="FF0000FF"/>
      <name val="WenQuanYi Zen Hei"/>
      <family val="2"/>
    </font>
    <font>
      <sz val="11"/>
      <color rgb="FF0000FF"/>
      <name val="맑은 고딕"/>
      <family val="0"/>
      <charset val="1"/>
    </font>
    <font>
      <sz val="11"/>
      <color rgb="FF7F7F7F"/>
      <name val="맑은 고딕"/>
      <family val="0"/>
      <charset val="1"/>
    </font>
    <font>
      <b val="true"/>
      <sz val="11"/>
      <name val="맑은 고딕"/>
      <family val="0"/>
      <charset val="1"/>
    </font>
    <font>
      <b val="true"/>
      <sz val="14"/>
      <name val="맑은 고딕"/>
      <family val="0"/>
      <charset val="1"/>
    </font>
    <font>
      <i val="true"/>
      <sz val="11"/>
      <color rgb="FFC00000"/>
      <name val="WenQuanYi Zen Hei"/>
      <family val="2"/>
    </font>
    <font>
      <i val="true"/>
      <sz val="11"/>
      <color rgb="FFC00000"/>
      <name val="맑은 고딕"/>
      <family val="0"/>
      <charset val="1"/>
    </font>
    <font>
      <b val="true"/>
      <sz val="11"/>
      <color rgb="FFFFFFFF"/>
      <name val="WenQuanYi Zen Hei"/>
      <family val="2"/>
    </font>
    <font>
      <sz val="11"/>
      <name val="WenQuanYi Zen Hei"/>
      <family val="2"/>
    </font>
    <font>
      <sz val="11"/>
      <name val="맑은 고딕"/>
      <family val="0"/>
      <charset val="1"/>
    </font>
    <font>
      <sz val="11"/>
      <color theme="1"/>
      <name val="WenQuanYi Zen Hei"/>
      <family val="2"/>
    </font>
    <font>
      <b val="true"/>
      <sz val="11"/>
      <color rgb="FFFFFFFF"/>
      <name val="맑은 고딕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305496"/>
        <bgColor rgb="FF0066CC"/>
      </patternFill>
    </fill>
    <fill>
      <patternFill patternType="solid">
        <fgColor rgb="FFD9E1F2"/>
        <bgColor rgb="FFD9D9D9"/>
      </patternFill>
    </fill>
  </fills>
  <borders count="29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1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2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3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4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24" fillId="0" borderId="14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8" fontId="0" fillId="0" borderId="15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6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9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24" fillId="0" borderId="19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8" fontId="0" fillId="0" borderId="20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22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21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2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24" fillId="0" borderId="22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8" fontId="0" fillId="0" borderId="10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1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2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3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4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5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6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8" fontId="4" fillId="0" borderId="2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2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2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Field" xfId="20"/>
    <cellStyle name="Pivot Table Corner" xfId="21"/>
    <cellStyle name="Pivot Table Value" xfId="22"/>
    <cellStyle name="Pivot Table Category" xfId="23"/>
    <cellStyle name="Pivot Table Title" xfId="24"/>
    <cellStyle name="Pivot Table Result" xfId="2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BBB59"/>
      <rgbColor rgb="FF800080"/>
      <rgbColor rgb="FF008080"/>
      <rgbColor rgb="FFBFBFBF"/>
      <rgbColor rgb="FF7F7F7F"/>
      <rgbColor rgb="FF8064A2"/>
      <rgbColor rgb="FFBE4B48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46AAC4"/>
      <rgbColor rgb="FF98B855"/>
      <rgbColor rgb="FFFFCC00"/>
      <rgbColor rgb="FFF59240"/>
      <rgbColor rgb="FFFF6600"/>
      <rgbColor rgb="FF7D5FA0"/>
      <rgbColor rgb="FF878787"/>
      <rgbColor rgb="FF003366"/>
      <rgbColor rgb="FF4F81BD"/>
      <rgbColor rgb="FF003300"/>
      <rgbColor rgb="FF333300"/>
      <rgbColor rgb="FF993300"/>
      <rgbColor rgb="FFC0504D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① 기준시즌 품목별 원가 구성 (원)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차트데이터!B40</c:f>
              <c:strCache>
                <c:ptCount val="1"/>
                <c:pt idx="0">
                  <c:v>원자재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차트데이터!$A$41:$A$46</c:f>
              <c:strCache>
                <c:ptCount val="6"/>
                <c:pt idx="0">
                  <c:v>아우터</c:v>
                </c:pt>
                <c:pt idx="1">
                  <c:v>니트</c:v>
                </c:pt>
                <c:pt idx="2">
                  <c:v>셔츠</c:v>
                </c:pt>
                <c:pt idx="3">
                  <c:v>팬츠</c:v>
                </c:pt>
                <c:pt idx="4">
                  <c:v>스커트</c:v>
                </c:pt>
                <c:pt idx="5">
                  <c:v>원피스</c:v>
                </c:pt>
              </c:strCache>
            </c:strRef>
          </c:cat>
          <c:val>
            <c:numRef>
              <c:f>차트데이터!$B$41:$B$46</c:f>
              <c:numCache>
                <c:formatCode>#,##0;\(#,##0\);\-</c:formatCode>
                <c:ptCount val="6"/>
                <c:pt idx="0">
                  <c:v>62854.5454545455</c:v>
                </c:pt>
                <c:pt idx="1">
                  <c:v>24177.7777777778</c:v>
                </c:pt>
                <c:pt idx="2">
                  <c:v>13450</c:v>
                </c:pt>
                <c:pt idx="3">
                  <c:v>16700</c:v>
                </c:pt>
                <c:pt idx="4">
                  <c:v>13512.5</c:v>
                </c:pt>
                <c:pt idx="5">
                  <c:v>22116.6666666667</c:v>
                </c:pt>
              </c:numCache>
            </c:numRef>
          </c:val>
        </c:ser>
        <c:ser>
          <c:idx val="1"/>
          <c:order val="1"/>
          <c:tx>
            <c:strRef>
              <c:f>차트데이터!C40</c:f>
              <c:strCache>
                <c:ptCount val="1"/>
                <c:pt idx="0">
                  <c:v>부자재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차트데이터!$A$41:$A$46</c:f>
              <c:strCache>
                <c:ptCount val="6"/>
                <c:pt idx="0">
                  <c:v>아우터</c:v>
                </c:pt>
                <c:pt idx="1">
                  <c:v>니트</c:v>
                </c:pt>
                <c:pt idx="2">
                  <c:v>셔츠</c:v>
                </c:pt>
                <c:pt idx="3">
                  <c:v>팬츠</c:v>
                </c:pt>
                <c:pt idx="4">
                  <c:v>스커트</c:v>
                </c:pt>
                <c:pt idx="5">
                  <c:v>원피스</c:v>
                </c:pt>
              </c:strCache>
            </c:strRef>
          </c:cat>
          <c:val>
            <c:numRef>
              <c:f>차트데이터!$C$41:$C$46</c:f>
              <c:numCache>
                <c:formatCode>#,##0;\(#,##0\);\-</c:formatCode>
                <c:ptCount val="6"/>
                <c:pt idx="0">
                  <c:v>10690.9090909091</c:v>
                </c:pt>
                <c:pt idx="1">
                  <c:v>3666.66666666667</c:v>
                </c:pt>
                <c:pt idx="2">
                  <c:v>3200</c:v>
                </c:pt>
                <c:pt idx="3">
                  <c:v>4244.44444444444</c:v>
                </c:pt>
                <c:pt idx="4">
                  <c:v>3625</c:v>
                </c:pt>
                <c:pt idx="5">
                  <c:v>4766.66666666667</c:v>
                </c:pt>
              </c:numCache>
            </c:numRef>
          </c:val>
        </c:ser>
        <c:ser>
          <c:idx val="2"/>
          <c:order val="2"/>
          <c:tx>
            <c:strRef>
              <c:f>차트데이터!D40</c:f>
              <c:strCache>
                <c:ptCount val="1"/>
                <c:pt idx="0">
                  <c:v>가공임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차트데이터!$A$41:$A$46</c:f>
              <c:strCache>
                <c:ptCount val="6"/>
                <c:pt idx="0">
                  <c:v>아우터</c:v>
                </c:pt>
                <c:pt idx="1">
                  <c:v>니트</c:v>
                </c:pt>
                <c:pt idx="2">
                  <c:v>셔츠</c:v>
                </c:pt>
                <c:pt idx="3">
                  <c:v>팬츠</c:v>
                </c:pt>
                <c:pt idx="4">
                  <c:v>스커트</c:v>
                </c:pt>
                <c:pt idx="5">
                  <c:v>원피스</c:v>
                </c:pt>
              </c:strCache>
            </c:strRef>
          </c:cat>
          <c:val>
            <c:numRef>
              <c:f>차트데이터!$D$41:$D$46</c:f>
              <c:numCache>
                <c:formatCode>#,##0;\(#,##0\);\-</c:formatCode>
                <c:ptCount val="6"/>
                <c:pt idx="0">
                  <c:v>30563.6363636364</c:v>
                </c:pt>
                <c:pt idx="1">
                  <c:v>13000</c:v>
                </c:pt>
                <c:pt idx="2">
                  <c:v>8662.5</c:v>
                </c:pt>
                <c:pt idx="3">
                  <c:v>9933.33333333333</c:v>
                </c:pt>
                <c:pt idx="4">
                  <c:v>8925</c:v>
                </c:pt>
                <c:pt idx="5">
                  <c:v>13458.3333333333</c:v>
                </c:pt>
              </c:numCache>
            </c:numRef>
          </c:val>
        </c:ser>
        <c:gapWidth val="150"/>
        <c:overlap val="100"/>
        <c:axId val="37926655"/>
        <c:axId val="25311952"/>
      </c:barChart>
      <c:catAx>
        <c:axId val="37926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311952"/>
        <c:crosses val="autoZero"/>
        <c:auto val="1"/>
        <c:lblAlgn val="ctr"/>
        <c:lblOffset val="100"/>
        <c:noMultiLvlLbl val="0"/>
      </c:catAx>
      <c:valAx>
        <c:axId val="253119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92665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② 기준시즌 품목별 원가 구성비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percentStacked"/>
        <c:varyColors val="0"/>
        <c:ser>
          <c:idx val="0"/>
          <c:order val="0"/>
          <c:tx>
            <c:strRef>
              <c:f>차트데이터!B40</c:f>
              <c:strCache>
                <c:ptCount val="1"/>
                <c:pt idx="0">
                  <c:v>원자재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차트데이터!$A$41:$A$46</c:f>
              <c:strCache>
                <c:ptCount val="6"/>
                <c:pt idx="0">
                  <c:v>아우터</c:v>
                </c:pt>
                <c:pt idx="1">
                  <c:v>니트</c:v>
                </c:pt>
                <c:pt idx="2">
                  <c:v>셔츠</c:v>
                </c:pt>
                <c:pt idx="3">
                  <c:v>팬츠</c:v>
                </c:pt>
                <c:pt idx="4">
                  <c:v>스커트</c:v>
                </c:pt>
                <c:pt idx="5">
                  <c:v>원피스</c:v>
                </c:pt>
              </c:strCache>
            </c:strRef>
          </c:cat>
          <c:val>
            <c:numRef>
              <c:f>차트데이터!$B$41:$B$46</c:f>
              <c:numCache>
                <c:formatCode>#,##0;\(#,##0\);\-</c:formatCode>
                <c:ptCount val="6"/>
                <c:pt idx="0">
                  <c:v>62854.5454545455</c:v>
                </c:pt>
                <c:pt idx="1">
                  <c:v>24177.7777777778</c:v>
                </c:pt>
                <c:pt idx="2">
                  <c:v>13450</c:v>
                </c:pt>
                <c:pt idx="3">
                  <c:v>16700</c:v>
                </c:pt>
                <c:pt idx="4">
                  <c:v>13512.5</c:v>
                </c:pt>
                <c:pt idx="5">
                  <c:v>22116.6666666667</c:v>
                </c:pt>
              </c:numCache>
            </c:numRef>
          </c:val>
        </c:ser>
        <c:ser>
          <c:idx val="1"/>
          <c:order val="1"/>
          <c:tx>
            <c:strRef>
              <c:f>차트데이터!C40</c:f>
              <c:strCache>
                <c:ptCount val="1"/>
                <c:pt idx="0">
                  <c:v>부자재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차트데이터!$A$41:$A$46</c:f>
              <c:strCache>
                <c:ptCount val="6"/>
                <c:pt idx="0">
                  <c:v>아우터</c:v>
                </c:pt>
                <c:pt idx="1">
                  <c:v>니트</c:v>
                </c:pt>
                <c:pt idx="2">
                  <c:v>셔츠</c:v>
                </c:pt>
                <c:pt idx="3">
                  <c:v>팬츠</c:v>
                </c:pt>
                <c:pt idx="4">
                  <c:v>스커트</c:v>
                </c:pt>
                <c:pt idx="5">
                  <c:v>원피스</c:v>
                </c:pt>
              </c:strCache>
            </c:strRef>
          </c:cat>
          <c:val>
            <c:numRef>
              <c:f>차트데이터!$C$41:$C$46</c:f>
              <c:numCache>
                <c:formatCode>#,##0;\(#,##0\);\-</c:formatCode>
                <c:ptCount val="6"/>
                <c:pt idx="0">
                  <c:v>10690.9090909091</c:v>
                </c:pt>
                <c:pt idx="1">
                  <c:v>3666.66666666667</c:v>
                </c:pt>
                <c:pt idx="2">
                  <c:v>3200</c:v>
                </c:pt>
                <c:pt idx="3">
                  <c:v>4244.44444444444</c:v>
                </c:pt>
                <c:pt idx="4">
                  <c:v>3625</c:v>
                </c:pt>
                <c:pt idx="5">
                  <c:v>4766.66666666667</c:v>
                </c:pt>
              </c:numCache>
            </c:numRef>
          </c:val>
        </c:ser>
        <c:ser>
          <c:idx val="2"/>
          <c:order val="2"/>
          <c:tx>
            <c:strRef>
              <c:f>차트데이터!D40</c:f>
              <c:strCache>
                <c:ptCount val="1"/>
                <c:pt idx="0">
                  <c:v>가공임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차트데이터!$A$41:$A$46</c:f>
              <c:strCache>
                <c:ptCount val="6"/>
                <c:pt idx="0">
                  <c:v>아우터</c:v>
                </c:pt>
                <c:pt idx="1">
                  <c:v>니트</c:v>
                </c:pt>
                <c:pt idx="2">
                  <c:v>셔츠</c:v>
                </c:pt>
                <c:pt idx="3">
                  <c:v>팬츠</c:v>
                </c:pt>
                <c:pt idx="4">
                  <c:v>스커트</c:v>
                </c:pt>
                <c:pt idx="5">
                  <c:v>원피스</c:v>
                </c:pt>
              </c:strCache>
            </c:strRef>
          </c:cat>
          <c:val>
            <c:numRef>
              <c:f>차트데이터!$D$41:$D$46</c:f>
              <c:numCache>
                <c:formatCode>#,##0;\(#,##0\);\-</c:formatCode>
                <c:ptCount val="6"/>
                <c:pt idx="0">
                  <c:v>30563.6363636364</c:v>
                </c:pt>
                <c:pt idx="1">
                  <c:v>13000</c:v>
                </c:pt>
                <c:pt idx="2">
                  <c:v>8662.5</c:v>
                </c:pt>
                <c:pt idx="3">
                  <c:v>9933.33333333333</c:v>
                </c:pt>
                <c:pt idx="4">
                  <c:v>8925</c:v>
                </c:pt>
                <c:pt idx="5">
                  <c:v>13458.3333333333</c:v>
                </c:pt>
              </c:numCache>
            </c:numRef>
          </c:val>
        </c:ser>
        <c:gapWidth val="150"/>
        <c:overlap val="100"/>
        <c:axId val="73191151"/>
        <c:axId val="10781582"/>
      </c:barChart>
      <c:catAx>
        <c:axId val="73191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781582"/>
        <c:crosses val="autoZero"/>
        <c:auto val="1"/>
        <c:lblAlgn val="ctr"/>
        <c:lblOffset val="100"/>
        <c:noMultiLvlLbl val="0"/>
      </c:catAx>
      <c:valAx>
        <c:axId val="107815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[$-409]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19115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③ 품목별 원자재 시즌 비교 (원)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차트데이터!B4</c:f>
              <c:strCache>
                <c:ptCount val="1"/>
                <c:pt idx="0">
                  <c:v>2025 SS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차트데이터!$A$5:$A$10</c:f>
              <c:strCache>
                <c:ptCount val="6"/>
                <c:pt idx="0">
                  <c:v>아우터</c:v>
                </c:pt>
                <c:pt idx="1">
                  <c:v>니트</c:v>
                </c:pt>
                <c:pt idx="2">
                  <c:v>셔츠</c:v>
                </c:pt>
                <c:pt idx="3">
                  <c:v>팬츠</c:v>
                </c:pt>
                <c:pt idx="4">
                  <c:v>스커트</c:v>
                </c:pt>
                <c:pt idx="5">
                  <c:v>원피스</c:v>
                </c:pt>
              </c:strCache>
            </c:strRef>
          </c:cat>
          <c:val>
            <c:numRef>
              <c:f>차트데이터!$B$5:$B$10</c:f>
              <c:numCache>
                <c:formatCode>#,##0;\(#,##0\);\-</c:formatCode>
                <c:ptCount val="6"/>
                <c:pt idx="0">
                  <c:v>46230</c:v>
                </c:pt>
                <c:pt idx="1">
                  <c:v>17233.3333333333</c:v>
                </c:pt>
                <c:pt idx="2">
                  <c:v>9666.66666666667</c:v>
                </c:pt>
                <c:pt idx="3">
                  <c:v>12236.3636363636</c:v>
                </c:pt>
                <c:pt idx="4">
                  <c:v>10050</c:v>
                </c:pt>
                <c:pt idx="5">
                  <c:v>15755.5555555556</c:v>
                </c:pt>
              </c:numCache>
            </c:numRef>
          </c:val>
        </c:ser>
        <c:ser>
          <c:idx val="1"/>
          <c:order val="1"/>
          <c:tx>
            <c:strRef>
              <c:f>차트데이터!C4</c:f>
              <c:strCache>
                <c:ptCount val="1"/>
                <c:pt idx="0">
                  <c:v>2025 FW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차트데이터!$A$5:$A$10</c:f>
              <c:strCache>
                <c:ptCount val="6"/>
                <c:pt idx="0">
                  <c:v>아우터</c:v>
                </c:pt>
                <c:pt idx="1">
                  <c:v>니트</c:v>
                </c:pt>
                <c:pt idx="2">
                  <c:v>셔츠</c:v>
                </c:pt>
                <c:pt idx="3">
                  <c:v>팬츠</c:v>
                </c:pt>
                <c:pt idx="4">
                  <c:v>스커트</c:v>
                </c:pt>
                <c:pt idx="5">
                  <c:v>원피스</c:v>
                </c:pt>
              </c:strCache>
            </c:strRef>
          </c:cat>
          <c:val>
            <c:numRef>
              <c:f>차트데이터!$C$5:$C$10</c:f>
              <c:numCache>
                <c:formatCode>#,##0;\(#,##0\);\-</c:formatCode>
                <c:ptCount val="6"/>
                <c:pt idx="0">
                  <c:v>57677.7777777778</c:v>
                </c:pt>
                <c:pt idx="1">
                  <c:v>23683.3333333333</c:v>
                </c:pt>
                <c:pt idx="2">
                  <c:v>13011.1111111111</c:v>
                </c:pt>
                <c:pt idx="3">
                  <c:v>16110</c:v>
                </c:pt>
                <c:pt idx="4">
                  <c:v>14037.5</c:v>
                </c:pt>
                <c:pt idx="5">
                  <c:v>21408.3333333333</c:v>
                </c:pt>
              </c:numCache>
            </c:numRef>
          </c:val>
        </c:ser>
        <c:ser>
          <c:idx val="2"/>
          <c:order val="2"/>
          <c:tx>
            <c:strRef>
              <c:f>차트데이터!D4</c:f>
              <c:strCache>
                <c:ptCount val="1"/>
                <c:pt idx="0">
                  <c:v>2026 SS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차트데이터!$A$5:$A$10</c:f>
              <c:strCache>
                <c:ptCount val="6"/>
                <c:pt idx="0">
                  <c:v>아우터</c:v>
                </c:pt>
                <c:pt idx="1">
                  <c:v>니트</c:v>
                </c:pt>
                <c:pt idx="2">
                  <c:v>셔츠</c:v>
                </c:pt>
                <c:pt idx="3">
                  <c:v>팬츠</c:v>
                </c:pt>
                <c:pt idx="4">
                  <c:v>스커트</c:v>
                </c:pt>
                <c:pt idx="5">
                  <c:v>원피스</c:v>
                </c:pt>
              </c:strCache>
            </c:strRef>
          </c:cat>
          <c:val>
            <c:numRef>
              <c:f>차트데이터!$D$5:$D$10</c:f>
              <c:numCache>
                <c:formatCode>#,##0;\(#,##0\);\-</c:formatCode>
                <c:ptCount val="6"/>
                <c:pt idx="0">
                  <c:v>46608.3333333333</c:v>
                </c:pt>
                <c:pt idx="1">
                  <c:v>18700</c:v>
                </c:pt>
                <c:pt idx="2">
                  <c:v>10241.6666666667</c:v>
                </c:pt>
                <c:pt idx="3">
                  <c:v>12870</c:v>
                </c:pt>
                <c:pt idx="4">
                  <c:v>10275</c:v>
                </c:pt>
                <c:pt idx="5">
                  <c:v>17150</c:v>
                </c:pt>
              </c:numCache>
            </c:numRef>
          </c:val>
        </c:ser>
        <c:ser>
          <c:idx val="3"/>
          <c:order val="3"/>
          <c:tx>
            <c:strRef>
              <c:f>차트데이터!E4</c:f>
              <c:strCache>
                <c:ptCount val="1"/>
                <c:pt idx="0">
                  <c:v>2026 FW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차트데이터!$A$5:$A$10</c:f>
              <c:strCache>
                <c:ptCount val="6"/>
                <c:pt idx="0">
                  <c:v>아우터</c:v>
                </c:pt>
                <c:pt idx="1">
                  <c:v>니트</c:v>
                </c:pt>
                <c:pt idx="2">
                  <c:v>셔츠</c:v>
                </c:pt>
                <c:pt idx="3">
                  <c:v>팬츠</c:v>
                </c:pt>
                <c:pt idx="4">
                  <c:v>스커트</c:v>
                </c:pt>
                <c:pt idx="5">
                  <c:v>원피스</c:v>
                </c:pt>
              </c:strCache>
            </c:strRef>
          </c:cat>
          <c:val>
            <c:numRef>
              <c:f>차트데이터!$E$5:$E$10</c:f>
              <c:numCache>
                <c:formatCode>#,##0;\(#,##0\);\-</c:formatCode>
                <c:ptCount val="6"/>
                <c:pt idx="0">
                  <c:v>62854.5454545455</c:v>
                </c:pt>
                <c:pt idx="1">
                  <c:v>24177.7777777778</c:v>
                </c:pt>
                <c:pt idx="2">
                  <c:v>13450</c:v>
                </c:pt>
                <c:pt idx="3">
                  <c:v>16700</c:v>
                </c:pt>
                <c:pt idx="4">
                  <c:v>13512.5</c:v>
                </c:pt>
                <c:pt idx="5">
                  <c:v>22116.6666666667</c:v>
                </c:pt>
              </c:numCache>
            </c:numRef>
          </c:val>
        </c:ser>
        <c:gapWidth val="150"/>
        <c:overlap val="0"/>
        <c:axId val="96199908"/>
        <c:axId val="48291812"/>
      </c:barChart>
      <c:catAx>
        <c:axId val="961999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291812"/>
        <c:crosses val="autoZero"/>
        <c:auto val="1"/>
        <c:lblAlgn val="ctr"/>
        <c:lblOffset val="100"/>
        <c:noMultiLvlLbl val="0"/>
      </c:catAx>
      <c:valAx>
        <c:axId val="482918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19990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④ 품목별 부자재 시즌 비교 (원)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차트데이터!B13</c:f>
              <c:strCache>
                <c:ptCount val="1"/>
                <c:pt idx="0">
                  <c:v>2025 SS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차트데이터!$A$14:$A$19</c:f>
              <c:strCache>
                <c:ptCount val="6"/>
                <c:pt idx="0">
                  <c:v>아우터</c:v>
                </c:pt>
                <c:pt idx="1">
                  <c:v>니트</c:v>
                </c:pt>
                <c:pt idx="2">
                  <c:v>셔츠</c:v>
                </c:pt>
                <c:pt idx="3">
                  <c:v>팬츠</c:v>
                </c:pt>
                <c:pt idx="4">
                  <c:v>스커트</c:v>
                </c:pt>
                <c:pt idx="5">
                  <c:v>원피스</c:v>
                </c:pt>
              </c:strCache>
            </c:strRef>
          </c:cat>
          <c:val>
            <c:numRef>
              <c:f>차트데이터!$B$14:$B$19</c:f>
              <c:numCache>
                <c:formatCode>#,##0;\(#,##0\);\-</c:formatCode>
                <c:ptCount val="6"/>
                <c:pt idx="0">
                  <c:v>6860</c:v>
                </c:pt>
                <c:pt idx="1">
                  <c:v>2522.22222222222</c:v>
                </c:pt>
                <c:pt idx="2">
                  <c:v>2158.33333333333</c:v>
                </c:pt>
                <c:pt idx="3">
                  <c:v>2954.54545454545</c:v>
                </c:pt>
                <c:pt idx="4">
                  <c:v>2433.33333333333</c:v>
                </c:pt>
                <c:pt idx="5">
                  <c:v>3400</c:v>
                </c:pt>
              </c:numCache>
            </c:numRef>
          </c:val>
        </c:ser>
        <c:ser>
          <c:idx val="1"/>
          <c:order val="1"/>
          <c:tx>
            <c:strRef>
              <c:f>차트데이터!C13</c:f>
              <c:strCache>
                <c:ptCount val="1"/>
                <c:pt idx="0">
                  <c:v>2025 FW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차트데이터!$A$14:$A$19</c:f>
              <c:strCache>
                <c:ptCount val="6"/>
                <c:pt idx="0">
                  <c:v>아우터</c:v>
                </c:pt>
                <c:pt idx="1">
                  <c:v>니트</c:v>
                </c:pt>
                <c:pt idx="2">
                  <c:v>셔츠</c:v>
                </c:pt>
                <c:pt idx="3">
                  <c:v>팬츠</c:v>
                </c:pt>
                <c:pt idx="4">
                  <c:v>스커트</c:v>
                </c:pt>
                <c:pt idx="5">
                  <c:v>원피스</c:v>
                </c:pt>
              </c:strCache>
            </c:strRef>
          </c:cat>
          <c:val>
            <c:numRef>
              <c:f>차트데이터!$C$14:$C$19</c:f>
              <c:numCache>
                <c:formatCode>#,##0;\(#,##0\);\-</c:formatCode>
                <c:ptCount val="6"/>
                <c:pt idx="0">
                  <c:v>11811.1111111111</c:v>
                </c:pt>
                <c:pt idx="1">
                  <c:v>3733.33333333333</c:v>
                </c:pt>
                <c:pt idx="2">
                  <c:v>2977.77777777778</c:v>
                </c:pt>
                <c:pt idx="3">
                  <c:v>4120</c:v>
                </c:pt>
                <c:pt idx="4">
                  <c:v>3212.5</c:v>
                </c:pt>
                <c:pt idx="5">
                  <c:v>4233.33333333333</c:v>
                </c:pt>
              </c:numCache>
            </c:numRef>
          </c:val>
        </c:ser>
        <c:ser>
          <c:idx val="2"/>
          <c:order val="2"/>
          <c:tx>
            <c:strRef>
              <c:f>차트데이터!D13</c:f>
              <c:strCache>
                <c:ptCount val="1"/>
                <c:pt idx="0">
                  <c:v>2026 SS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차트데이터!$A$14:$A$19</c:f>
              <c:strCache>
                <c:ptCount val="6"/>
                <c:pt idx="0">
                  <c:v>아우터</c:v>
                </c:pt>
                <c:pt idx="1">
                  <c:v>니트</c:v>
                </c:pt>
                <c:pt idx="2">
                  <c:v>셔츠</c:v>
                </c:pt>
                <c:pt idx="3">
                  <c:v>팬츠</c:v>
                </c:pt>
                <c:pt idx="4">
                  <c:v>스커트</c:v>
                </c:pt>
                <c:pt idx="5">
                  <c:v>원피스</c:v>
                </c:pt>
              </c:strCache>
            </c:strRef>
          </c:cat>
          <c:val>
            <c:numRef>
              <c:f>차트데이터!$D$14:$D$19</c:f>
              <c:numCache>
                <c:formatCode>#,##0;\(#,##0\);\-</c:formatCode>
                <c:ptCount val="6"/>
                <c:pt idx="0">
                  <c:v>7625</c:v>
                </c:pt>
                <c:pt idx="1">
                  <c:v>2640</c:v>
                </c:pt>
                <c:pt idx="2">
                  <c:v>2158.33333333333</c:v>
                </c:pt>
                <c:pt idx="3">
                  <c:v>3170</c:v>
                </c:pt>
                <c:pt idx="4">
                  <c:v>2708.33333333333</c:v>
                </c:pt>
                <c:pt idx="5">
                  <c:v>3412.5</c:v>
                </c:pt>
              </c:numCache>
            </c:numRef>
          </c:val>
        </c:ser>
        <c:ser>
          <c:idx val="3"/>
          <c:order val="3"/>
          <c:tx>
            <c:strRef>
              <c:f>차트데이터!E13</c:f>
              <c:strCache>
                <c:ptCount val="1"/>
                <c:pt idx="0">
                  <c:v>2026 FW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차트데이터!$A$14:$A$19</c:f>
              <c:strCache>
                <c:ptCount val="6"/>
                <c:pt idx="0">
                  <c:v>아우터</c:v>
                </c:pt>
                <c:pt idx="1">
                  <c:v>니트</c:v>
                </c:pt>
                <c:pt idx="2">
                  <c:v>셔츠</c:v>
                </c:pt>
                <c:pt idx="3">
                  <c:v>팬츠</c:v>
                </c:pt>
                <c:pt idx="4">
                  <c:v>스커트</c:v>
                </c:pt>
                <c:pt idx="5">
                  <c:v>원피스</c:v>
                </c:pt>
              </c:strCache>
            </c:strRef>
          </c:cat>
          <c:val>
            <c:numRef>
              <c:f>차트데이터!$E$14:$E$19</c:f>
              <c:numCache>
                <c:formatCode>#,##0;\(#,##0\);\-</c:formatCode>
                <c:ptCount val="6"/>
                <c:pt idx="0">
                  <c:v>10690.9090909091</c:v>
                </c:pt>
                <c:pt idx="1">
                  <c:v>3666.66666666667</c:v>
                </c:pt>
                <c:pt idx="2">
                  <c:v>3200</c:v>
                </c:pt>
                <c:pt idx="3">
                  <c:v>4244.44444444444</c:v>
                </c:pt>
                <c:pt idx="4">
                  <c:v>3625</c:v>
                </c:pt>
                <c:pt idx="5">
                  <c:v>4766.66666666667</c:v>
                </c:pt>
              </c:numCache>
            </c:numRef>
          </c:val>
        </c:ser>
        <c:gapWidth val="150"/>
        <c:overlap val="0"/>
        <c:axId val="68345429"/>
        <c:axId val="13201848"/>
      </c:barChart>
      <c:catAx>
        <c:axId val="6834542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201848"/>
        <c:crosses val="autoZero"/>
        <c:auto val="1"/>
        <c:lblAlgn val="ctr"/>
        <c:lblOffset val="100"/>
        <c:noMultiLvlLbl val="0"/>
      </c:catAx>
      <c:valAx>
        <c:axId val="132018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34542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⑤ 품목별 가공임 시즌 비교 (원)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차트데이터!B22</c:f>
              <c:strCache>
                <c:ptCount val="1"/>
                <c:pt idx="0">
                  <c:v>2025 SS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차트데이터!$A$23:$A$28</c:f>
              <c:strCache>
                <c:ptCount val="6"/>
                <c:pt idx="0">
                  <c:v>아우터</c:v>
                </c:pt>
                <c:pt idx="1">
                  <c:v>니트</c:v>
                </c:pt>
                <c:pt idx="2">
                  <c:v>셔츠</c:v>
                </c:pt>
                <c:pt idx="3">
                  <c:v>팬츠</c:v>
                </c:pt>
                <c:pt idx="4">
                  <c:v>스커트</c:v>
                </c:pt>
                <c:pt idx="5">
                  <c:v>원피스</c:v>
                </c:pt>
              </c:strCache>
            </c:strRef>
          </c:cat>
          <c:val>
            <c:numRef>
              <c:f>차트데이터!$B$23:$B$28</c:f>
              <c:numCache>
                <c:formatCode>#,##0;\(#,##0\);\-</c:formatCode>
                <c:ptCount val="6"/>
                <c:pt idx="0">
                  <c:v>27200</c:v>
                </c:pt>
                <c:pt idx="1">
                  <c:v>11933.3333333333</c:v>
                </c:pt>
                <c:pt idx="2">
                  <c:v>7858.33333333333</c:v>
                </c:pt>
                <c:pt idx="3">
                  <c:v>9272.72727272727</c:v>
                </c:pt>
                <c:pt idx="4">
                  <c:v>8000</c:v>
                </c:pt>
                <c:pt idx="5">
                  <c:v>13166.6666666667</c:v>
                </c:pt>
              </c:numCache>
            </c:numRef>
          </c:val>
        </c:ser>
        <c:ser>
          <c:idx val="1"/>
          <c:order val="1"/>
          <c:tx>
            <c:strRef>
              <c:f>차트데이터!C22</c:f>
              <c:strCache>
                <c:ptCount val="1"/>
                <c:pt idx="0">
                  <c:v>2025 FW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차트데이터!$A$23:$A$28</c:f>
              <c:strCache>
                <c:ptCount val="6"/>
                <c:pt idx="0">
                  <c:v>아우터</c:v>
                </c:pt>
                <c:pt idx="1">
                  <c:v>니트</c:v>
                </c:pt>
                <c:pt idx="2">
                  <c:v>셔츠</c:v>
                </c:pt>
                <c:pt idx="3">
                  <c:v>팬츠</c:v>
                </c:pt>
                <c:pt idx="4">
                  <c:v>스커트</c:v>
                </c:pt>
                <c:pt idx="5">
                  <c:v>원피스</c:v>
                </c:pt>
              </c:strCache>
            </c:strRef>
          </c:cat>
          <c:val>
            <c:numRef>
              <c:f>차트데이터!$C$23:$C$28</c:f>
              <c:numCache>
                <c:formatCode>#,##0;\(#,##0\);\-</c:formatCode>
                <c:ptCount val="6"/>
                <c:pt idx="0">
                  <c:v>26966.6666666667</c:v>
                </c:pt>
                <c:pt idx="1">
                  <c:v>11575</c:v>
                </c:pt>
                <c:pt idx="2">
                  <c:v>7966.66666666667</c:v>
                </c:pt>
                <c:pt idx="3">
                  <c:v>9230</c:v>
                </c:pt>
                <c:pt idx="4">
                  <c:v>8450</c:v>
                </c:pt>
                <c:pt idx="5">
                  <c:v>12758.3333333333</c:v>
                </c:pt>
              </c:numCache>
            </c:numRef>
          </c:val>
        </c:ser>
        <c:ser>
          <c:idx val="2"/>
          <c:order val="2"/>
          <c:tx>
            <c:strRef>
              <c:f>차트데이터!D22</c:f>
              <c:strCache>
                <c:ptCount val="1"/>
                <c:pt idx="0">
                  <c:v>2026 SS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차트데이터!$A$23:$A$28</c:f>
              <c:strCache>
                <c:ptCount val="6"/>
                <c:pt idx="0">
                  <c:v>아우터</c:v>
                </c:pt>
                <c:pt idx="1">
                  <c:v>니트</c:v>
                </c:pt>
                <c:pt idx="2">
                  <c:v>셔츠</c:v>
                </c:pt>
                <c:pt idx="3">
                  <c:v>팬츠</c:v>
                </c:pt>
                <c:pt idx="4">
                  <c:v>스커트</c:v>
                </c:pt>
                <c:pt idx="5">
                  <c:v>원피스</c:v>
                </c:pt>
              </c:strCache>
            </c:strRef>
          </c:cat>
          <c:val>
            <c:numRef>
              <c:f>차트데이터!$D$23:$D$28</c:f>
              <c:numCache>
                <c:formatCode>#,##0;\(#,##0\);\-</c:formatCode>
                <c:ptCount val="6"/>
                <c:pt idx="0">
                  <c:v>29891.6666666667</c:v>
                </c:pt>
                <c:pt idx="1">
                  <c:v>12130</c:v>
                </c:pt>
                <c:pt idx="2">
                  <c:v>8833.33333333333</c:v>
                </c:pt>
                <c:pt idx="3">
                  <c:v>9890</c:v>
                </c:pt>
                <c:pt idx="4">
                  <c:v>9258.33333333333</c:v>
                </c:pt>
                <c:pt idx="5">
                  <c:v>13475</c:v>
                </c:pt>
              </c:numCache>
            </c:numRef>
          </c:val>
        </c:ser>
        <c:ser>
          <c:idx val="3"/>
          <c:order val="3"/>
          <c:tx>
            <c:strRef>
              <c:f>차트데이터!E22</c:f>
              <c:strCache>
                <c:ptCount val="1"/>
                <c:pt idx="0">
                  <c:v>2026 FW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차트데이터!$A$23:$A$28</c:f>
              <c:strCache>
                <c:ptCount val="6"/>
                <c:pt idx="0">
                  <c:v>아우터</c:v>
                </c:pt>
                <c:pt idx="1">
                  <c:v>니트</c:v>
                </c:pt>
                <c:pt idx="2">
                  <c:v>셔츠</c:v>
                </c:pt>
                <c:pt idx="3">
                  <c:v>팬츠</c:v>
                </c:pt>
                <c:pt idx="4">
                  <c:v>스커트</c:v>
                </c:pt>
                <c:pt idx="5">
                  <c:v>원피스</c:v>
                </c:pt>
              </c:strCache>
            </c:strRef>
          </c:cat>
          <c:val>
            <c:numRef>
              <c:f>차트데이터!$E$23:$E$28</c:f>
              <c:numCache>
                <c:formatCode>#,##0;\(#,##0\);\-</c:formatCode>
                <c:ptCount val="6"/>
                <c:pt idx="0">
                  <c:v>30563.6363636364</c:v>
                </c:pt>
                <c:pt idx="1">
                  <c:v>13000</c:v>
                </c:pt>
                <c:pt idx="2">
                  <c:v>8662.5</c:v>
                </c:pt>
                <c:pt idx="3">
                  <c:v>9933.33333333333</c:v>
                </c:pt>
                <c:pt idx="4">
                  <c:v>8925</c:v>
                </c:pt>
                <c:pt idx="5">
                  <c:v>13458.3333333333</c:v>
                </c:pt>
              </c:numCache>
            </c:numRef>
          </c:val>
        </c:ser>
        <c:gapWidth val="150"/>
        <c:overlap val="0"/>
        <c:axId val="30037580"/>
        <c:axId val="27870100"/>
      </c:barChart>
      <c:catAx>
        <c:axId val="300375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870100"/>
        <c:crosses val="autoZero"/>
        <c:auto val="1"/>
        <c:lblAlgn val="ctr"/>
        <c:lblOffset val="100"/>
        <c:noMultiLvlLbl val="0"/>
      </c:catAx>
      <c:valAx>
        <c:axId val="278701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03758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⑥ 품목별 총원가 시즌 추이 (원)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차트데이터!A32</c:f>
              <c:strCache>
                <c:ptCount val="1"/>
                <c:pt idx="0">
                  <c:v>아우터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차트데이터!$B$31:$E$31</c:f>
              <c:strCache>
                <c:ptCount val="4"/>
                <c:pt idx="0">
                  <c:v>2025 SS</c:v>
                </c:pt>
                <c:pt idx="1">
                  <c:v>2025 FW</c:v>
                </c:pt>
                <c:pt idx="2">
                  <c:v>2026 SS</c:v>
                </c:pt>
                <c:pt idx="3">
                  <c:v>2026 FW</c:v>
                </c:pt>
              </c:strCache>
            </c:strRef>
          </c:cat>
          <c:val>
            <c:numRef>
              <c:f>차트데이터!$B$32:$E$32</c:f>
              <c:numCache>
                <c:formatCode>#,##0;\(#,##0\);\-</c:formatCode>
                <c:ptCount val="4"/>
                <c:pt idx="0">
                  <c:v>80290</c:v>
                </c:pt>
                <c:pt idx="1">
                  <c:v>96455.5555555556</c:v>
                </c:pt>
                <c:pt idx="2">
                  <c:v>84125</c:v>
                </c:pt>
                <c:pt idx="3">
                  <c:v>104109.090909091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차트데이터!A33</c:f>
              <c:strCache>
                <c:ptCount val="1"/>
                <c:pt idx="0">
                  <c:v>니트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circle"/>
            <c:size val="5"/>
            <c:spPr>
              <a:solidFill>
                <a:srgbClr val="be4b4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차트데이터!$B$31:$E$31</c:f>
              <c:strCache>
                <c:ptCount val="4"/>
                <c:pt idx="0">
                  <c:v>2025 SS</c:v>
                </c:pt>
                <c:pt idx="1">
                  <c:v>2025 FW</c:v>
                </c:pt>
                <c:pt idx="2">
                  <c:v>2026 SS</c:v>
                </c:pt>
                <c:pt idx="3">
                  <c:v>2026 FW</c:v>
                </c:pt>
              </c:strCache>
            </c:strRef>
          </c:cat>
          <c:val>
            <c:numRef>
              <c:f>차트데이터!$B$33:$E$33</c:f>
              <c:numCache>
                <c:formatCode>#,##0;\(#,##0\);\-</c:formatCode>
                <c:ptCount val="4"/>
                <c:pt idx="0">
                  <c:v>31688.8888888889</c:v>
                </c:pt>
                <c:pt idx="1">
                  <c:v>38991.6666666667</c:v>
                </c:pt>
                <c:pt idx="2">
                  <c:v>33470</c:v>
                </c:pt>
                <c:pt idx="3">
                  <c:v>40844.4444444444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차트데이터!A34</c:f>
              <c:strCache>
                <c:ptCount val="1"/>
                <c:pt idx="0">
                  <c:v>셔츠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circle"/>
            <c:size val="5"/>
            <c:spPr>
              <a:solidFill>
                <a:srgbClr val="98b85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차트데이터!$B$31:$E$31</c:f>
              <c:strCache>
                <c:ptCount val="4"/>
                <c:pt idx="0">
                  <c:v>2025 SS</c:v>
                </c:pt>
                <c:pt idx="1">
                  <c:v>2025 FW</c:v>
                </c:pt>
                <c:pt idx="2">
                  <c:v>2026 SS</c:v>
                </c:pt>
                <c:pt idx="3">
                  <c:v>2026 FW</c:v>
                </c:pt>
              </c:strCache>
            </c:strRef>
          </c:cat>
          <c:val>
            <c:numRef>
              <c:f>차트데이터!$B$34:$E$34</c:f>
              <c:numCache>
                <c:formatCode>#,##0;\(#,##0\);\-</c:formatCode>
                <c:ptCount val="4"/>
                <c:pt idx="0">
                  <c:v>19683.3333333333</c:v>
                </c:pt>
                <c:pt idx="1">
                  <c:v>23955.5555555556</c:v>
                </c:pt>
                <c:pt idx="2">
                  <c:v>21233.3333333333</c:v>
                </c:pt>
                <c:pt idx="3">
                  <c:v>25312.5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차트데이터!A35</c:f>
              <c:strCache>
                <c:ptCount val="1"/>
                <c:pt idx="0">
                  <c:v>팬츠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circle"/>
            <c:size val="5"/>
            <c:spPr>
              <a:solidFill>
                <a:srgbClr val="7d5fa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차트데이터!$B$31:$E$31</c:f>
              <c:strCache>
                <c:ptCount val="4"/>
                <c:pt idx="0">
                  <c:v>2025 SS</c:v>
                </c:pt>
                <c:pt idx="1">
                  <c:v>2025 FW</c:v>
                </c:pt>
                <c:pt idx="2">
                  <c:v>2026 SS</c:v>
                </c:pt>
                <c:pt idx="3">
                  <c:v>2026 FW</c:v>
                </c:pt>
              </c:strCache>
            </c:strRef>
          </c:cat>
          <c:val>
            <c:numRef>
              <c:f>차트데이터!$B$35:$E$35</c:f>
              <c:numCache>
                <c:formatCode>#,##0;\(#,##0\);\-</c:formatCode>
                <c:ptCount val="4"/>
                <c:pt idx="0">
                  <c:v>24463.6363636364</c:v>
                </c:pt>
                <c:pt idx="1">
                  <c:v>29460</c:v>
                </c:pt>
                <c:pt idx="2">
                  <c:v>25930</c:v>
                </c:pt>
                <c:pt idx="3">
                  <c:v>30877.7777777778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차트데이터!A36</c:f>
              <c:strCache>
                <c:ptCount val="1"/>
                <c:pt idx="0">
                  <c:v>스커트</c:v>
                </c:pt>
              </c:strCache>
            </c:strRef>
          </c:tx>
          <c:spPr>
            <a:solidFill>
              <a:srgbClr val="46aac4"/>
            </a:solidFill>
            <a:ln w="28440">
              <a:solidFill>
                <a:srgbClr val="46aac4"/>
              </a:solidFill>
              <a:round/>
            </a:ln>
          </c:spPr>
          <c:marker>
            <c:symbol val="circle"/>
            <c:size val="5"/>
            <c:spPr>
              <a:solidFill>
                <a:srgbClr val="46aac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차트데이터!$B$31:$E$31</c:f>
              <c:strCache>
                <c:ptCount val="4"/>
                <c:pt idx="0">
                  <c:v>2025 SS</c:v>
                </c:pt>
                <c:pt idx="1">
                  <c:v>2025 FW</c:v>
                </c:pt>
                <c:pt idx="2">
                  <c:v>2026 SS</c:v>
                </c:pt>
                <c:pt idx="3">
                  <c:v>2026 FW</c:v>
                </c:pt>
              </c:strCache>
            </c:strRef>
          </c:cat>
          <c:val>
            <c:numRef>
              <c:f>차트데이터!$B$36:$E$36</c:f>
              <c:numCache>
                <c:formatCode>#,##0;\(#,##0\);\-</c:formatCode>
                <c:ptCount val="4"/>
                <c:pt idx="0">
                  <c:v>20483.3333333333</c:v>
                </c:pt>
                <c:pt idx="1">
                  <c:v>25700</c:v>
                </c:pt>
                <c:pt idx="2">
                  <c:v>22241.6666666667</c:v>
                </c:pt>
                <c:pt idx="3">
                  <c:v>26062.5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차트데이터!A37</c:f>
              <c:strCache>
                <c:ptCount val="1"/>
                <c:pt idx="0">
                  <c:v>원피스</c:v>
                </c:pt>
              </c:strCache>
            </c:strRef>
          </c:tx>
          <c:spPr>
            <a:solidFill>
              <a:srgbClr val="f59240"/>
            </a:solidFill>
            <a:ln w="28440">
              <a:solidFill>
                <a:srgbClr val="f59240"/>
              </a:solidFill>
              <a:round/>
            </a:ln>
          </c:spPr>
          <c:marker>
            <c:symbol val="circle"/>
            <c:size val="5"/>
            <c:spPr>
              <a:solidFill>
                <a:srgbClr val="f5924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차트데이터!$B$31:$E$31</c:f>
              <c:strCache>
                <c:ptCount val="4"/>
                <c:pt idx="0">
                  <c:v>2025 SS</c:v>
                </c:pt>
                <c:pt idx="1">
                  <c:v>2025 FW</c:v>
                </c:pt>
                <c:pt idx="2">
                  <c:v>2026 SS</c:v>
                </c:pt>
                <c:pt idx="3">
                  <c:v>2026 FW</c:v>
                </c:pt>
              </c:strCache>
            </c:strRef>
          </c:cat>
          <c:val>
            <c:numRef>
              <c:f>차트데이터!$B$37:$E$37</c:f>
              <c:numCache>
                <c:formatCode>#,##0;\(#,##0\);\-</c:formatCode>
                <c:ptCount val="4"/>
                <c:pt idx="0">
                  <c:v>32322.2222222222</c:v>
                </c:pt>
                <c:pt idx="1">
                  <c:v>38400</c:v>
                </c:pt>
                <c:pt idx="2">
                  <c:v>34037.5</c:v>
                </c:pt>
                <c:pt idx="3">
                  <c:v>40341.6666666667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5117224"/>
        <c:axId val="56806522"/>
      </c:lineChart>
      <c:catAx>
        <c:axId val="55117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806522"/>
        <c:crosses val="autoZero"/>
        <c:auto val="1"/>
        <c:lblAlgn val="ctr"/>
        <c:lblOffset val="100"/>
        <c:noMultiLvlLbl val="0"/>
      </c:catAx>
      <c:valAx>
        <c:axId val="568065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11722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⑦ 기준시즌 전체 원가 구성비 (품목 평균)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차트데이터!$B$40:$D$40</c:f>
              <c:strCache>
                <c:ptCount val="3"/>
                <c:pt idx="0">
                  <c:v>원자재</c:v>
                </c:pt>
                <c:pt idx="1">
                  <c:v>부자재</c:v>
                </c:pt>
                <c:pt idx="2">
                  <c:v>가공임</c:v>
                </c:pt>
              </c:strCache>
            </c:strRef>
          </c:cat>
          <c:val>
            <c:numRef>
              <c:f>차트데이터!$B$47:$D$47</c:f>
              <c:numCache>
                <c:formatCode>#,##0;\(#,##0\);\-</c:formatCode>
                <c:ptCount val="3"/>
                <c:pt idx="0">
                  <c:v>25468.5816498317</c:v>
                </c:pt>
                <c:pt idx="1">
                  <c:v>5032.28114478115</c:v>
                </c:pt>
                <c:pt idx="2">
                  <c:v>14090.4671717172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⑧ 기준시즌 총원가 전년대비 증감률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차트데이터!J40</c:f>
              <c:strCache>
                <c:ptCount val="1"/>
                <c:pt idx="0">
                  <c:v>전년대비 증감률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차트데이터!$A$41:$A$46</c:f>
              <c:strCache>
                <c:ptCount val="6"/>
                <c:pt idx="0">
                  <c:v>아우터</c:v>
                </c:pt>
                <c:pt idx="1">
                  <c:v>니트</c:v>
                </c:pt>
                <c:pt idx="2">
                  <c:v>셔츠</c:v>
                </c:pt>
                <c:pt idx="3">
                  <c:v>팬츠</c:v>
                </c:pt>
                <c:pt idx="4">
                  <c:v>스커트</c:v>
                </c:pt>
                <c:pt idx="5">
                  <c:v>원피스</c:v>
                </c:pt>
              </c:strCache>
            </c:strRef>
          </c:cat>
          <c:val>
            <c:numRef>
              <c:f>차트데이터!$J$41:$J$46</c:f>
              <c:numCache>
                <c:formatCode>0.0%;\(0.0%\);\-</c:formatCode>
                <c:ptCount val="6"/>
                <c:pt idx="0">
                  <c:v>0.0793477919385073</c:v>
                </c:pt>
                <c:pt idx="1">
                  <c:v>0.0475172757711764</c:v>
                </c:pt>
                <c:pt idx="2">
                  <c:v>0.0566442486085343</c:v>
                </c:pt>
                <c:pt idx="3">
                  <c:v>0.0481255185939504</c:v>
                </c:pt>
                <c:pt idx="4">
                  <c:v>0.0141050583657587</c:v>
                </c:pt>
                <c:pt idx="5">
                  <c:v>0.0505642361111112</c:v>
                </c:pt>
              </c:numCache>
            </c:numRef>
          </c:val>
        </c:ser>
        <c:gapWidth val="150"/>
        <c:overlap val="0"/>
        <c:axId val="98867513"/>
        <c:axId val="52058517"/>
      </c:barChart>
      <c:catAx>
        <c:axId val="9886751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058517"/>
        <c:crosses val="autoZero"/>
        <c:auto val="1"/>
        <c:lblAlgn val="ctr"/>
        <c:lblOffset val="100"/>
        <c:noMultiLvlLbl val="0"/>
      </c:catAx>
      <c:valAx>
        <c:axId val="520585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86751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101160</xdr:rowOff>
    </xdr:from>
    <xdr:to>
      <xdr:col>9</xdr:col>
      <xdr:colOff>255960</xdr:colOff>
      <xdr:row>18</xdr:row>
      <xdr:rowOff>112680</xdr:rowOff>
    </xdr:to>
    <xdr:graphicFrame>
      <xdr:nvGraphicFramePr>
        <xdr:cNvPr id="0" name="Chart 1"/>
        <xdr:cNvGraphicFramePr/>
      </xdr:nvGraphicFramePr>
      <xdr:xfrm>
        <a:off x="0" y="57168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</xdr:row>
      <xdr:rowOff>101160</xdr:rowOff>
    </xdr:from>
    <xdr:to>
      <xdr:col>19</xdr:col>
      <xdr:colOff>255960</xdr:colOff>
      <xdr:row>18</xdr:row>
      <xdr:rowOff>112680</xdr:rowOff>
    </xdr:to>
    <xdr:graphicFrame>
      <xdr:nvGraphicFramePr>
        <xdr:cNvPr id="1" name="Chart 2"/>
        <xdr:cNvGraphicFramePr/>
      </xdr:nvGraphicFramePr>
      <xdr:xfrm>
        <a:off x="6114960" y="57168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20</xdr:row>
      <xdr:rowOff>101160</xdr:rowOff>
    </xdr:from>
    <xdr:to>
      <xdr:col>9</xdr:col>
      <xdr:colOff>255960</xdr:colOff>
      <xdr:row>36</xdr:row>
      <xdr:rowOff>112680</xdr:rowOff>
    </xdr:to>
    <xdr:graphicFrame>
      <xdr:nvGraphicFramePr>
        <xdr:cNvPr id="2" name="Chart 3"/>
        <xdr:cNvGraphicFramePr/>
      </xdr:nvGraphicFramePr>
      <xdr:xfrm>
        <a:off x="0" y="400068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20</xdr:row>
      <xdr:rowOff>101160</xdr:rowOff>
    </xdr:from>
    <xdr:to>
      <xdr:col>19</xdr:col>
      <xdr:colOff>255960</xdr:colOff>
      <xdr:row>36</xdr:row>
      <xdr:rowOff>112680</xdr:rowOff>
    </xdr:to>
    <xdr:graphicFrame>
      <xdr:nvGraphicFramePr>
        <xdr:cNvPr id="3" name="Chart 4"/>
        <xdr:cNvGraphicFramePr/>
      </xdr:nvGraphicFramePr>
      <xdr:xfrm>
        <a:off x="6114960" y="400068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38</xdr:row>
      <xdr:rowOff>101160</xdr:rowOff>
    </xdr:from>
    <xdr:to>
      <xdr:col>9</xdr:col>
      <xdr:colOff>255960</xdr:colOff>
      <xdr:row>54</xdr:row>
      <xdr:rowOff>112680</xdr:rowOff>
    </xdr:to>
    <xdr:graphicFrame>
      <xdr:nvGraphicFramePr>
        <xdr:cNvPr id="4" name="Chart 5"/>
        <xdr:cNvGraphicFramePr/>
      </xdr:nvGraphicFramePr>
      <xdr:xfrm>
        <a:off x="0" y="742968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10</xdr:col>
      <xdr:colOff>0</xdr:colOff>
      <xdr:row>38</xdr:row>
      <xdr:rowOff>101160</xdr:rowOff>
    </xdr:from>
    <xdr:to>
      <xdr:col>19</xdr:col>
      <xdr:colOff>255960</xdr:colOff>
      <xdr:row>54</xdr:row>
      <xdr:rowOff>112680</xdr:rowOff>
    </xdr:to>
    <xdr:graphicFrame>
      <xdr:nvGraphicFramePr>
        <xdr:cNvPr id="5" name="Chart 6"/>
        <xdr:cNvGraphicFramePr/>
      </xdr:nvGraphicFramePr>
      <xdr:xfrm>
        <a:off x="6114960" y="742968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56</xdr:row>
      <xdr:rowOff>101160</xdr:rowOff>
    </xdr:from>
    <xdr:to>
      <xdr:col>9</xdr:col>
      <xdr:colOff>255960</xdr:colOff>
      <xdr:row>72</xdr:row>
      <xdr:rowOff>112680</xdr:rowOff>
    </xdr:to>
    <xdr:graphicFrame>
      <xdr:nvGraphicFramePr>
        <xdr:cNvPr id="6" name="Chart 7"/>
        <xdr:cNvGraphicFramePr/>
      </xdr:nvGraphicFramePr>
      <xdr:xfrm>
        <a:off x="0" y="1085868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10</xdr:col>
      <xdr:colOff>0</xdr:colOff>
      <xdr:row>56</xdr:row>
      <xdr:rowOff>101160</xdr:rowOff>
    </xdr:from>
    <xdr:to>
      <xdr:col>19</xdr:col>
      <xdr:colOff>255960</xdr:colOff>
      <xdr:row>72</xdr:row>
      <xdr:rowOff>112680</xdr:rowOff>
    </xdr:to>
    <xdr:graphicFrame>
      <xdr:nvGraphicFramePr>
        <xdr:cNvPr id="7" name="Chart 8"/>
        <xdr:cNvGraphicFramePr/>
      </xdr:nvGraphicFramePr>
      <xdr:xfrm>
        <a:off x="6114960" y="1085868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efreshOnLoad="1" r:id="rId1" recordCount="244" createdVersion="3">
  <cacheSource type="worksheet">
    <worksheetSource name="원가데이터"/>
  </cacheSource>
  <cacheFields count="8">
    <cacheField name="브랜드" numFmtId="0">
      <sharedItems count="1">
        <s v="브랜드A"/>
      </sharedItems>
    </cacheField>
    <cacheField name="년도" numFmtId="0">
      <sharedItems containsSemiMixedTypes="0" containsString="0" containsNumber="1" containsInteger="1" minValue="2025" maxValue="2026" count="2">
        <n v="2025"/>
        <n v="2026"/>
      </sharedItems>
    </cacheField>
    <cacheField name="시즌" numFmtId="0">
      <sharedItems count="2">
        <s v="FW"/>
        <s v="SS"/>
      </sharedItems>
    </cacheField>
    <cacheField name="품목" numFmtId="0">
      <sharedItems count="6">
        <s v="니트"/>
        <s v="셔츠"/>
        <s v="스커트"/>
        <s v="아우터"/>
        <s v="원피스"/>
        <s v="팬츠"/>
      </sharedItems>
    </cacheField>
    <cacheField name="스타일번호" numFmtId="0">
      <sharedItems count="244">
        <s v="25FW-0101"/>
        <s v="25FW-0102"/>
        <s v="25FW-0103"/>
        <s v="25FW-0104"/>
        <s v="25FW-0105"/>
        <s v="25FW-0106"/>
        <s v="25FW-0107"/>
        <s v="25FW-0108"/>
        <s v="25FW-0109"/>
        <s v="25FW-0201"/>
        <s v="25FW-0202"/>
        <s v="25FW-0203"/>
        <s v="25FW-0204"/>
        <s v="25FW-0205"/>
        <s v="25FW-0206"/>
        <s v="25FW-0207"/>
        <s v="25FW-0208"/>
        <s v="25FW-0209"/>
        <s v="25FW-0210"/>
        <s v="25FW-0211"/>
        <s v="25FW-0212"/>
        <s v="25FW-0301"/>
        <s v="25FW-0302"/>
        <s v="25FW-0303"/>
        <s v="25FW-0304"/>
        <s v="25FW-0305"/>
        <s v="25FW-0306"/>
        <s v="25FW-0307"/>
        <s v="25FW-0308"/>
        <s v="25FW-0309"/>
        <s v="25FW-0401"/>
        <s v="25FW-0402"/>
        <s v="25FW-0403"/>
        <s v="25FW-0404"/>
        <s v="25FW-0405"/>
        <s v="25FW-0406"/>
        <s v="25FW-0407"/>
        <s v="25FW-0408"/>
        <s v="25FW-0409"/>
        <s v="25FW-0410"/>
        <s v="25FW-0501"/>
        <s v="25FW-0502"/>
        <s v="25FW-0503"/>
        <s v="25FW-0504"/>
        <s v="25FW-0505"/>
        <s v="25FW-0506"/>
        <s v="25FW-0507"/>
        <s v="25FW-0508"/>
        <s v="25FW-0601"/>
        <s v="25FW-0602"/>
        <s v="25FW-0603"/>
        <s v="25FW-0604"/>
        <s v="25FW-0605"/>
        <s v="25FW-0606"/>
        <s v="25FW-0607"/>
        <s v="25FW-0608"/>
        <s v="25FW-0609"/>
        <s v="25FW-0610"/>
        <s v="25FW-0611"/>
        <s v="25FW-0612"/>
        <s v="25SS-0101"/>
        <s v="25SS-0102"/>
        <s v="25SS-0103"/>
        <s v="25SS-0104"/>
        <s v="25SS-0105"/>
        <s v="25SS-0106"/>
        <s v="25SS-0107"/>
        <s v="25SS-0108"/>
        <s v="25SS-0109"/>
        <s v="25SS-0110"/>
        <s v="25SS-0201"/>
        <s v="25SS-0202"/>
        <s v="25SS-0203"/>
        <s v="25SS-0204"/>
        <s v="25SS-0205"/>
        <s v="25SS-0206"/>
        <s v="25SS-0207"/>
        <s v="25SS-0208"/>
        <s v="25SS-0209"/>
        <s v="25SS-0301"/>
        <s v="25SS-0302"/>
        <s v="25SS-0303"/>
        <s v="25SS-0304"/>
        <s v="25SS-0305"/>
        <s v="25SS-0306"/>
        <s v="25SS-0307"/>
        <s v="25SS-0308"/>
        <s v="25SS-0309"/>
        <s v="25SS-0310"/>
        <s v="25SS-0311"/>
        <s v="25SS-0312"/>
        <s v="25SS-0401"/>
        <s v="25SS-0402"/>
        <s v="25SS-0403"/>
        <s v="25SS-0404"/>
        <s v="25SS-0405"/>
        <s v="25SS-0406"/>
        <s v="25SS-0407"/>
        <s v="25SS-0408"/>
        <s v="25SS-0409"/>
        <s v="25SS-0410"/>
        <s v="25SS-0411"/>
        <s v="25SS-0501"/>
        <s v="25SS-0502"/>
        <s v="25SS-0503"/>
        <s v="25SS-0504"/>
        <s v="25SS-0505"/>
        <s v="25SS-0506"/>
        <s v="25SS-0507"/>
        <s v="25SS-0508"/>
        <s v="25SS-0509"/>
        <s v="25SS-0510"/>
        <s v="25SS-0511"/>
        <s v="25SS-0512"/>
        <s v="25SS-0601"/>
        <s v="25SS-0602"/>
        <s v="25SS-0603"/>
        <s v="25SS-0604"/>
        <s v="25SS-0605"/>
        <s v="25SS-0606"/>
        <s v="25SS-0607"/>
        <s v="25SS-0608"/>
        <s v="25SS-0609"/>
        <s v="26FW-0101"/>
        <s v="26FW-0102"/>
        <s v="26FW-0103"/>
        <s v="26FW-0104"/>
        <s v="26FW-0105"/>
        <s v="26FW-0106"/>
        <s v="26FW-0107"/>
        <s v="26FW-0108"/>
        <s v="26FW-0109"/>
        <s v="26FW-0110"/>
        <s v="26FW-0111"/>
        <s v="26FW-0201"/>
        <s v="26FW-0202"/>
        <s v="26FW-0203"/>
        <s v="26FW-0204"/>
        <s v="26FW-0205"/>
        <s v="26FW-0206"/>
        <s v="26FW-0207"/>
        <s v="26FW-0208"/>
        <s v="26FW-0209"/>
        <s v="26FW-0301"/>
        <s v="26FW-0302"/>
        <s v="26FW-0303"/>
        <s v="26FW-0304"/>
        <s v="26FW-0305"/>
        <s v="26FW-0306"/>
        <s v="26FW-0307"/>
        <s v="26FW-0308"/>
        <s v="26FW-0401"/>
        <s v="26FW-0402"/>
        <s v="26FW-0403"/>
        <s v="26FW-0404"/>
        <s v="26FW-0405"/>
        <s v="26FW-0406"/>
        <s v="26FW-0407"/>
        <s v="26FW-0408"/>
        <s v="26FW-0409"/>
        <s v="26FW-0501"/>
        <s v="26FW-0502"/>
        <s v="26FW-0503"/>
        <s v="26FW-0504"/>
        <s v="26FW-0505"/>
        <s v="26FW-0506"/>
        <s v="26FW-0507"/>
        <s v="26FW-0508"/>
        <s v="26FW-0601"/>
        <s v="26FW-0602"/>
        <s v="26FW-0603"/>
        <s v="26FW-0604"/>
        <s v="26FW-0605"/>
        <s v="26FW-0606"/>
        <s v="26FW-0607"/>
        <s v="26FW-0608"/>
        <s v="26FW-0609"/>
        <s v="26FW-0610"/>
        <s v="26FW-0611"/>
        <s v="26FW-0612"/>
        <s v="26SS-0101"/>
        <s v="26SS-0102"/>
        <s v="26SS-0103"/>
        <s v="26SS-0104"/>
        <s v="26SS-0105"/>
        <s v="26SS-0106"/>
        <s v="26SS-0107"/>
        <s v="26SS-0108"/>
        <s v="26SS-0109"/>
        <s v="26SS-0110"/>
        <s v="26SS-0111"/>
        <s v="26SS-0112"/>
        <s v="26SS-0201"/>
        <s v="26SS-0202"/>
        <s v="26SS-0203"/>
        <s v="26SS-0204"/>
        <s v="26SS-0205"/>
        <s v="26SS-0206"/>
        <s v="26SS-0207"/>
        <s v="26SS-0208"/>
        <s v="26SS-0209"/>
        <s v="26SS-0210"/>
        <s v="26SS-0301"/>
        <s v="26SS-0302"/>
        <s v="26SS-0303"/>
        <s v="26SS-0304"/>
        <s v="26SS-0305"/>
        <s v="26SS-0306"/>
        <s v="26SS-0307"/>
        <s v="26SS-0308"/>
        <s v="26SS-0309"/>
        <s v="26SS-0310"/>
        <s v="26SS-0311"/>
        <s v="26SS-0312"/>
        <s v="26SS-0401"/>
        <s v="26SS-0402"/>
        <s v="26SS-0403"/>
        <s v="26SS-0404"/>
        <s v="26SS-0405"/>
        <s v="26SS-0406"/>
        <s v="26SS-0407"/>
        <s v="26SS-0408"/>
        <s v="26SS-0409"/>
        <s v="26SS-0410"/>
        <s v="26SS-0501"/>
        <s v="26SS-0502"/>
        <s v="26SS-0503"/>
        <s v="26SS-0504"/>
        <s v="26SS-0505"/>
        <s v="26SS-0506"/>
        <s v="26SS-0507"/>
        <s v="26SS-0508"/>
        <s v="26SS-0509"/>
        <s v="26SS-0510"/>
        <s v="26SS-0511"/>
        <s v="26SS-0512"/>
        <s v="26SS-0601"/>
        <s v="26SS-0602"/>
        <s v="26SS-0603"/>
        <s v="26SS-0604"/>
        <s v="26SS-0605"/>
        <s v="26SS-0606"/>
        <s v="26SS-0607"/>
        <s v="26SS-0608"/>
      </sharedItems>
    </cacheField>
    <cacheField name="원자재" numFmtId="0">
      <sharedItems containsSemiMixedTypes="0" containsString="0" containsNumber="1" containsInteger="1" minValue="8100" maxValue="76000" count="161">
        <n v="8100"/>
        <n v="8300"/>
        <n v="8400"/>
        <n v="8600"/>
        <n v="8700"/>
        <n v="8800"/>
        <n v="8900"/>
        <n v="9200"/>
        <n v="9300"/>
        <n v="9500"/>
        <n v="9600"/>
        <n v="9700"/>
        <n v="9900"/>
        <n v="10000"/>
        <n v="10100"/>
        <n v="10400"/>
        <n v="10500"/>
        <n v="10600"/>
        <n v="10800"/>
        <n v="10900"/>
        <n v="11000"/>
        <n v="11100"/>
        <n v="11200"/>
        <n v="11400"/>
        <n v="11500"/>
        <n v="11600"/>
        <n v="11700"/>
        <n v="11800"/>
        <n v="12000"/>
        <n v="12100"/>
        <n v="12200"/>
        <n v="12400"/>
        <n v="12500"/>
        <n v="12600"/>
        <n v="12700"/>
        <n v="12800"/>
        <n v="12900"/>
        <n v="13000"/>
        <n v="13200"/>
        <n v="13300"/>
        <n v="13400"/>
        <n v="13500"/>
        <n v="13600"/>
        <n v="13700"/>
        <n v="13900"/>
        <n v="14000"/>
        <n v="14100"/>
        <n v="14200"/>
        <n v="14300"/>
        <n v="14400"/>
        <n v="14500"/>
        <n v="14700"/>
        <n v="14800"/>
        <n v="14900"/>
        <n v="15000"/>
        <n v="15100"/>
        <n v="15200"/>
        <n v="15300"/>
        <n v="15500"/>
        <n v="15700"/>
        <n v="15800"/>
        <n v="15900"/>
        <n v="16200"/>
        <n v="16300"/>
        <n v="16500"/>
        <n v="16800"/>
        <n v="16900"/>
        <n v="17100"/>
        <n v="17300"/>
        <n v="17400"/>
        <n v="17500"/>
        <n v="17600"/>
        <n v="17800"/>
        <n v="17900"/>
        <n v="18000"/>
        <n v="18100"/>
        <n v="18200"/>
        <n v="18300"/>
        <n v="18600"/>
        <n v="18700"/>
        <n v="18800"/>
        <n v="18900"/>
        <n v="19000"/>
        <n v="19100"/>
        <n v="19300"/>
        <n v="19500"/>
        <n v="20000"/>
        <n v="20200"/>
        <n v="20500"/>
        <n v="20600"/>
        <n v="20700"/>
        <n v="21000"/>
        <n v="21200"/>
        <n v="21400"/>
        <n v="21700"/>
        <n v="21800"/>
        <n v="21900"/>
        <n v="22100"/>
        <n v="22400"/>
        <n v="22500"/>
        <n v="22700"/>
        <n v="23000"/>
        <n v="23200"/>
        <n v="23400"/>
        <n v="23600"/>
        <n v="23700"/>
        <n v="24300"/>
        <n v="24400"/>
        <n v="24500"/>
        <n v="24800"/>
        <n v="25000"/>
        <n v="25300"/>
        <n v="25700"/>
        <n v="25800"/>
        <n v="25900"/>
        <n v="26100"/>
        <n v="26400"/>
        <n v="27100"/>
        <n v="27300"/>
        <n v="27700"/>
        <n v="36400"/>
        <n v="38800"/>
        <n v="40400"/>
        <n v="40500"/>
        <n v="42000"/>
        <n v="42800"/>
        <n v="44000"/>
        <n v="44800"/>
        <n v="44900"/>
        <n v="45200"/>
        <n v="45600"/>
        <n v="45700"/>
        <n v="46500"/>
        <n v="47400"/>
        <n v="47800"/>
        <n v="47900"/>
        <n v="49900"/>
        <n v="50700"/>
        <n v="51400"/>
        <n v="51600"/>
        <n v="52100"/>
        <n v="53800"/>
        <n v="53900"/>
        <n v="54800"/>
        <n v="55000"/>
        <n v="55900"/>
        <n v="57100"/>
        <n v="57300"/>
        <n v="58000"/>
        <n v="58300"/>
        <n v="58900"/>
        <n v="59400"/>
        <n v="62000"/>
        <n v="62100"/>
        <n v="63200"/>
        <n v="63300"/>
        <n v="64800"/>
        <n v="69000"/>
        <n v="69100"/>
        <n v="73900"/>
        <n v="76000"/>
      </sharedItems>
    </cacheField>
    <cacheField name="부자재" numFmtId="0">
      <sharedItems containsSemiMixedTypes="0" containsString="0" containsNumber="1" containsInteger="1" minValue="1600" maxValue="13400" count="76">
        <n v="1600"/>
        <n v="1700"/>
        <n v="1800"/>
        <n v="1900"/>
        <n v="2000"/>
        <n v="2100"/>
        <n v="2200"/>
        <n v="2300"/>
        <n v="2400"/>
        <n v="2500"/>
        <n v="2600"/>
        <n v="2700"/>
        <n v="2800"/>
        <n v="2900"/>
        <n v="3000"/>
        <n v="3100"/>
        <n v="3200"/>
        <n v="3300"/>
        <n v="3400"/>
        <n v="3500"/>
        <n v="3600"/>
        <n v="3700"/>
        <n v="3800"/>
        <n v="3900"/>
        <n v="4000"/>
        <n v="4100"/>
        <n v="4200"/>
        <n v="4300"/>
        <n v="4400"/>
        <n v="4500"/>
        <n v="4600"/>
        <n v="4700"/>
        <n v="4800"/>
        <n v="4900"/>
        <n v="5200"/>
        <n v="5300"/>
        <n v="5400"/>
        <n v="5500"/>
        <n v="5600"/>
        <n v="5700"/>
        <n v="5900"/>
        <n v="6000"/>
        <n v="6100"/>
        <n v="6200"/>
        <n v="6300"/>
        <n v="6400"/>
        <n v="6500"/>
        <n v="6600"/>
        <n v="6700"/>
        <n v="6800"/>
        <n v="7200"/>
        <n v="7300"/>
        <n v="7500"/>
        <n v="7900"/>
        <n v="8000"/>
        <n v="8100"/>
        <n v="8500"/>
        <n v="8700"/>
        <n v="8800"/>
        <n v="9100"/>
        <n v="9400"/>
        <n v="10000"/>
        <n v="10200"/>
        <n v="10400"/>
        <n v="10700"/>
        <n v="10800"/>
        <n v="11400"/>
        <n v="11600"/>
        <n v="11800"/>
        <n v="12100"/>
        <n v="12300"/>
        <n v="12400"/>
        <n v="12500"/>
        <n v="12700"/>
        <n v="12900"/>
        <n v="13400"/>
      </sharedItems>
    </cacheField>
    <cacheField name="가공임" numFmtId="0">
      <sharedItems containsSemiMixedTypes="0" containsString="0" containsNumber="1" containsInteger="1" minValue="6900" maxValue="33900" count="114">
        <n v="6900"/>
        <n v="7000"/>
        <n v="7100"/>
        <n v="7200"/>
        <n v="7300"/>
        <n v="7400"/>
        <n v="7500"/>
        <n v="7600"/>
        <n v="7700"/>
        <n v="7800"/>
        <n v="7900"/>
        <n v="8000"/>
        <n v="8100"/>
        <n v="8200"/>
        <n v="8300"/>
        <n v="8400"/>
        <n v="8500"/>
        <n v="8600"/>
        <n v="8700"/>
        <n v="8800"/>
        <n v="8900"/>
        <n v="9000"/>
        <n v="9100"/>
        <n v="9200"/>
        <n v="9300"/>
        <n v="9400"/>
        <n v="9500"/>
        <n v="9600"/>
        <n v="9700"/>
        <n v="9800"/>
        <n v="9900"/>
        <n v="10000"/>
        <n v="10200"/>
        <n v="10300"/>
        <n v="10400"/>
        <n v="10500"/>
        <n v="10600"/>
        <n v="10700"/>
        <n v="10800"/>
        <n v="10900"/>
        <n v="11000"/>
        <n v="11100"/>
        <n v="11200"/>
        <n v="11400"/>
        <n v="11500"/>
        <n v="11600"/>
        <n v="11700"/>
        <n v="11800"/>
        <n v="11900"/>
        <n v="12000"/>
        <n v="12100"/>
        <n v="12200"/>
        <n v="12300"/>
        <n v="12500"/>
        <n v="12600"/>
        <n v="12700"/>
        <n v="12800"/>
        <n v="12900"/>
        <n v="13000"/>
        <n v="13100"/>
        <n v="13300"/>
        <n v="13400"/>
        <n v="13500"/>
        <n v="13800"/>
        <n v="13900"/>
        <n v="14100"/>
        <n v="14200"/>
        <n v="14400"/>
        <n v="14500"/>
        <n v="14600"/>
        <n v="14700"/>
        <n v="14900"/>
        <n v="15200"/>
        <n v="15400"/>
        <n v="15600"/>
        <n v="15700"/>
        <n v="15800"/>
        <n v="24000"/>
        <n v="24200"/>
        <n v="24300"/>
        <n v="24500"/>
        <n v="24800"/>
        <n v="25500"/>
        <n v="25700"/>
        <n v="26400"/>
        <n v="26500"/>
        <n v="26700"/>
        <n v="27300"/>
        <n v="27500"/>
        <n v="27600"/>
        <n v="27700"/>
        <n v="27900"/>
        <n v="28300"/>
        <n v="28400"/>
        <n v="28500"/>
        <n v="28600"/>
        <n v="28700"/>
        <n v="28800"/>
        <n v="28900"/>
        <n v="29100"/>
        <n v="29300"/>
        <n v="29500"/>
        <n v="29900"/>
        <n v="30100"/>
        <n v="31000"/>
        <n v="31400"/>
        <n v="31700"/>
        <n v="31800"/>
        <n v="32500"/>
        <n v="32600"/>
        <n v="32700"/>
        <n v="33300"/>
        <n v="33500"/>
        <n v="3390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4">
  <r>
    <x v="0"/>
    <x v="0"/>
    <x v="1"/>
    <x v="3"/>
    <x v="60"/>
    <x v="140"/>
    <x v="50"/>
    <x v="78"/>
  </r>
  <r>
    <x v="0"/>
    <x v="0"/>
    <x v="1"/>
    <x v="3"/>
    <x v="61"/>
    <x v="136"/>
    <x v="42"/>
    <x v="96"/>
  </r>
  <r>
    <x v="0"/>
    <x v="0"/>
    <x v="1"/>
    <x v="3"/>
    <x v="62"/>
    <x v="138"/>
    <x v="47"/>
    <x v="80"/>
  </r>
  <r>
    <x v="0"/>
    <x v="0"/>
    <x v="1"/>
    <x v="3"/>
    <x v="63"/>
    <x v="125"/>
    <x v="48"/>
    <x v="93"/>
  </r>
  <r>
    <x v="0"/>
    <x v="0"/>
    <x v="1"/>
    <x v="3"/>
    <x v="64"/>
    <x v="120"/>
    <x v="53"/>
    <x v="107"/>
  </r>
  <r>
    <x v="0"/>
    <x v="0"/>
    <x v="1"/>
    <x v="3"/>
    <x v="65"/>
    <x v="132"/>
    <x v="54"/>
    <x v="79"/>
  </r>
  <r>
    <x v="0"/>
    <x v="0"/>
    <x v="1"/>
    <x v="3"/>
    <x v="66"/>
    <x v="131"/>
    <x v="40"/>
    <x v="83"/>
  </r>
  <r>
    <x v="0"/>
    <x v="0"/>
    <x v="1"/>
    <x v="3"/>
    <x v="67"/>
    <x v="129"/>
    <x v="43"/>
    <x v="87"/>
  </r>
  <r>
    <x v="0"/>
    <x v="0"/>
    <x v="1"/>
    <x v="3"/>
    <x v="68"/>
    <x v="128"/>
    <x v="53"/>
    <x v="94"/>
  </r>
  <r>
    <x v="0"/>
    <x v="0"/>
    <x v="1"/>
    <x v="3"/>
    <x v="69"/>
    <x v="133"/>
    <x v="42"/>
    <x v="95"/>
  </r>
  <r>
    <x v="0"/>
    <x v="0"/>
    <x v="1"/>
    <x v="0"/>
    <x v="70"/>
    <x v="66"/>
    <x v="10"/>
    <x v="34"/>
  </r>
  <r>
    <x v="0"/>
    <x v="0"/>
    <x v="1"/>
    <x v="0"/>
    <x v="71"/>
    <x v="51"/>
    <x v="6"/>
    <x v="54"/>
  </r>
  <r>
    <x v="0"/>
    <x v="0"/>
    <x v="1"/>
    <x v="0"/>
    <x v="72"/>
    <x v="68"/>
    <x v="7"/>
    <x v="52"/>
  </r>
  <r>
    <x v="0"/>
    <x v="0"/>
    <x v="1"/>
    <x v="0"/>
    <x v="73"/>
    <x v="70"/>
    <x v="7"/>
    <x v="59"/>
  </r>
  <r>
    <x v="0"/>
    <x v="0"/>
    <x v="1"/>
    <x v="0"/>
    <x v="74"/>
    <x v="84"/>
    <x v="6"/>
    <x v="52"/>
  </r>
  <r>
    <x v="0"/>
    <x v="0"/>
    <x v="1"/>
    <x v="0"/>
    <x v="75"/>
    <x v="74"/>
    <x v="14"/>
    <x v="56"/>
  </r>
  <r>
    <x v="0"/>
    <x v="0"/>
    <x v="1"/>
    <x v="0"/>
    <x v="76"/>
    <x v="63"/>
    <x v="16"/>
    <x v="36"/>
  </r>
  <r>
    <x v="0"/>
    <x v="0"/>
    <x v="1"/>
    <x v="0"/>
    <x v="77"/>
    <x v="68"/>
    <x v="13"/>
    <x v="37"/>
  </r>
  <r>
    <x v="0"/>
    <x v="0"/>
    <x v="1"/>
    <x v="0"/>
    <x v="78"/>
    <x v="72"/>
    <x v="4"/>
    <x v="54"/>
  </r>
  <r>
    <x v="0"/>
    <x v="0"/>
    <x v="1"/>
    <x v="1"/>
    <x v="79"/>
    <x v="10"/>
    <x v="9"/>
    <x v="7"/>
  </r>
  <r>
    <x v="0"/>
    <x v="0"/>
    <x v="1"/>
    <x v="1"/>
    <x v="80"/>
    <x v="14"/>
    <x v="6"/>
    <x v="13"/>
  </r>
  <r>
    <x v="0"/>
    <x v="0"/>
    <x v="1"/>
    <x v="1"/>
    <x v="81"/>
    <x v="7"/>
    <x v="9"/>
    <x v="22"/>
  </r>
  <r>
    <x v="0"/>
    <x v="0"/>
    <x v="1"/>
    <x v="1"/>
    <x v="82"/>
    <x v="8"/>
    <x v="7"/>
    <x v="0"/>
  </r>
  <r>
    <x v="0"/>
    <x v="0"/>
    <x v="1"/>
    <x v="1"/>
    <x v="83"/>
    <x v="14"/>
    <x v="7"/>
    <x v="23"/>
  </r>
  <r>
    <x v="0"/>
    <x v="0"/>
    <x v="1"/>
    <x v="1"/>
    <x v="84"/>
    <x v="17"/>
    <x v="3"/>
    <x v="8"/>
  </r>
  <r>
    <x v="0"/>
    <x v="0"/>
    <x v="1"/>
    <x v="1"/>
    <x v="85"/>
    <x v="13"/>
    <x v="0"/>
    <x v="10"/>
  </r>
  <r>
    <x v="0"/>
    <x v="0"/>
    <x v="1"/>
    <x v="1"/>
    <x v="86"/>
    <x v="0"/>
    <x v="1"/>
    <x v="0"/>
  </r>
  <r>
    <x v="0"/>
    <x v="0"/>
    <x v="1"/>
    <x v="1"/>
    <x v="87"/>
    <x v="15"/>
    <x v="1"/>
    <x v="5"/>
  </r>
  <r>
    <x v="0"/>
    <x v="0"/>
    <x v="1"/>
    <x v="1"/>
    <x v="88"/>
    <x v="6"/>
    <x v="9"/>
    <x v="1"/>
  </r>
  <r>
    <x v="0"/>
    <x v="0"/>
    <x v="1"/>
    <x v="1"/>
    <x v="89"/>
    <x v="7"/>
    <x v="6"/>
    <x v="20"/>
  </r>
  <r>
    <x v="0"/>
    <x v="0"/>
    <x v="1"/>
    <x v="1"/>
    <x v="90"/>
    <x v="16"/>
    <x v="9"/>
    <x v="6"/>
  </r>
  <r>
    <x v="0"/>
    <x v="0"/>
    <x v="1"/>
    <x v="5"/>
    <x v="91"/>
    <x v="47"/>
    <x v="16"/>
    <x v="23"/>
  </r>
  <r>
    <x v="0"/>
    <x v="0"/>
    <x v="1"/>
    <x v="5"/>
    <x v="92"/>
    <x v="17"/>
    <x v="8"/>
    <x v="16"/>
  </r>
  <r>
    <x v="0"/>
    <x v="0"/>
    <x v="1"/>
    <x v="5"/>
    <x v="93"/>
    <x v="34"/>
    <x v="6"/>
    <x v="34"/>
  </r>
  <r>
    <x v="0"/>
    <x v="0"/>
    <x v="1"/>
    <x v="5"/>
    <x v="94"/>
    <x v="15"/>
    <x v="11"/>
    <x v="16"/>
  </r>
  <r>
    <x v="0"/>
    <x v="0"/>
    <x v="1"/>
    <x v="5"/>
    <x v="95"/>
    <x v="29"/>
    <x v="15"/>
    <x v="21"/>
  </r>
  <r>
    <x v="0"/>
    <x v="0"/>
    <x v="1"/>
    <x v="5"/>
    <x v="96"/>
    <x v="14"/>
    <x v="19"/>
    <x v="38"/>
  </r>
  <r>
    <x v="0"/>
    <x v="0"/>
    <x v="1"/>
    <x v="5"/>
    <x v="97"/>
    <x v="33"/>
    <x v="17"/>
    <x v="25"/>
  </r>
  <r>
    <x v="0"/>
    <x v="0"/>
    <x v="1"/>
    <x v="5"/>
    <x v="98"/>
    <x v="43"/>
    <x v="20"/>
    <x v="31"/>
  </r>
  <r>
    <x v="0"/>
    <x v="0"/>
    <x v="1"/>
    <x v="5"/>
    <x v="99"/>
    <x v="30"/>
    <x v="12"/>
    <x v="23"/>
  </r>
  <r>
    <x v="0"/>
    <x v="0"/>
    <x v="1"/>
    <x v="5"/>
    <x v="100"/>
    <x v="27"/>
    <x v="12"/>
    <x v="17"/>
  </r>
  <r>
    <x v="0"/>
    <x v="0"/>
    <x v="1"/>
    <x v="5"/>
    <x v="101"/>
    <x v="47"/>
    <x v="13"/>
    <x v="15"/>
  </r>
  <r>
    <x v="0"/>
    <x v="0"/>
    <x v="1"/>
    <x v="2"/>
    <x v="102"/>
    <x v="2"/>
    <x v="3"/>
    <x v="7"/>
  </r>
  <r>
    <x v="0"/>
    <x v="0"/>
    <x v="1"/>
    <x v="2"/>
    <x v="103"/>
    <x v="3"/>
    <x v="8"/>
    <x v="4"/>
  </r>
  <r>
    <x v="0"/>
    <x v="0"/>
    <x v="1"/>
    <x v="2"/>
    <x v="104"/>
    <x v="26"/>
    <x v="11"/>
    <x v="7"/>
  </r>
  <r>
    <x v="0"/>
    <x v="0"/>
    <x v="1"/>
    <x v="2"/>
    <x v="105"/>
    <x v="7"/>
    <x v="8"/>
    <x v="13"/>
  </r>
  <r>
    <x v="0"/>
    <x v="0"/>
    <x v="1"/>
    <x v="2"/>
    <x v="106"/>
    <x v="4"/>
    <x v="14"/>
    <x v="29"/>
  </r>
  <r>
    <x v="0"/>
    <x v="0"/>
    <x v="1"/>
    <x v="2"/>
    <x v="107"/>
    <x v="14"/>
    <x v="9"/>
    <x v="5"/>
  </r>
  <r>
    <x v="0"/>
    <x v="0"/>
    <x v="1"/>
    <x v="2"/>
    <x v="108"/>
    <x v="3"/>
    <x v="7"/>
    <x v="10"/>
  </r>
  <r>
    <x v="0"/>
    <x v="0"/>
    <x v="1"/>
    <x v="2"/>
    <x v="109"/>
    <x v="24"/>
    <x v="5"/>
    <x v="4"/>
  </r>
  <r>
    <x v="0"/>
    <x v="0"/>
    <x v="1"/>
    <x v="2"/>
    <x v="110"/>
    <x v="28"/>
    <x v="10"/>
    <x v="7"/>
  </r>
  <r>
    <x v="0"/>
    <x v="0"/>
    <x v="1"/>
    <x v="2"/>
    <x v="111"/>
    <x v="15"/>
    <x v="3"/>
    <x v="17"/>
  </r>
  <r>
    <x v="0"/>
    <x v="0"/>
    <x v="1"/>
    <x v="2"/>
    <x v="112"/>
    <x v="30"/>
    <x v="14"/>
    <x v="21"/>
  </r>
  <r>
    <x v="0"/>
    <x v="0"/>
    <x v="1"/>
    <x v="2"/>
    <x v="113"/>
    <x v="7"/>
    <x v="8"/>
    <x v="8"/>
  </r>
  <r>
    <x v="0"/>
    <x v="0"/>
    <x v="1"/>
    <x v="4"/>
    <x v="114"/>
    <x v="58"/>
    <x v="23"/>
    <x v="52"/>
  </r>
  <r>
    <x v="0"/>
    <x v="0"/>
    <x v="1"/>
    <x v="4"/>
    <x v="115"/>
    <x v="42"/>
    <x v="23"/>
    <x v="71"/>
  </r>
  <r>
    <x v="0"/>
    <x v="0"/>
    <x v="1"/>
    <x v="4"/>
    <x v="116"/>
    <x v="70"/>
    <x v="23"/>
    <x v="66"/>
  </r>
  <r>
    <x v="0"/>
    <x v="0"/>
    <x v="1"/>
    <x v="4"/>
    <x v="117"/>
    <x v="65"/>
    <x v="13"/>
    <x v="59"/>
  </r>
  <r>
    <x v="0"/>
    <x v="0"/>
    <x v="1"/>
    <x v="4"/>
    <x v="118"/>
    <x v="49"/>
    <x v="10"/>
    <x v="42"/>
  </r>
  <r>
    <x v="0"/>
    <x v="0"/>
    <x v="1"/>
    <x v="4"/>
    <x v="119"/>
    <x v="45"/>
    <x v="14"/>
    <x v="63"/>
  </r>
  <r>
    <x v="0"/>
    <x v="0"/>
    <x v="1"/>
    <x v="4"/>
    <x v="120"/>
    <x v="75"/>
    <x v="17"/>
    <x v="70"/>
  </r>
  <r>
    <x v="0"/>
    <x v="0"/>
    <x v="1"/>
    <x v="4"/>
    <x v="121"/>
    <x v="77"/>
    <x v="26"/>
    <x v="53"/>
  </r>
  <r>
    <x v="0"/>
    <x v="0"/>
    <x v="1"/>
    <x v="4"/>
    <x v="122"/>
    <x v="42"/>
    <x v="13"/>
    <x v="47"/>
  </r>
  <r>
    <x v="0"/>
    <x v="0"/>
    <x v="0"/>
    <x v="3"/>
    <x v="0"/>
    <x v="151"/>
    <x v="74"/>
    <x v="98"/>
  </r>
  <r>
    <x v="0"/>
    <x v="0"/>
    <x v="0"/>
    <x v="3"/>
    <x v="1"/>
    <x v="135"/>
    <x v="72"/>
    <x v="86"/>
  </r>
  <r>
    <x v="0"/>
    <x v="0"/>
    <x v="0"/>
    <x v="3"/>
    <x v="2"/>
    <x v="154"/>
    <x v="69"/>
    <x v="81"/>
  </r>
  <r>
    <x v="0"/>
    <x v="0"/>
    <x v="0"/>
    <x v="3"/>
    <x v="3"/>
    <x v="146"/>
    <x v="66"/>
    <x v="82"/>
  </r>
  <r>
    <x v="0"/>
    <x v="0"/>
    <x v="0"/>
    <x v="3"/>
    <x v="4"/>
    <x v="158"/>
    <x v="61"/>
    <x v="99"/>
  </r>
  <r>
    <x v="0"/>
    <x v="0"/>
    <x v="0"/>
    <x v="3"/>
    <x v="5"/>
    <x v="136"/>
    <x v="73"/>
    <x v="102"/>
  </r>
  <r>
    <x v="0"/>
    <x v="0"/>
    <x v="0"/>
    <x v="3"/>
    <x v="6"/>
    <x v="150"/>
    <x v="67"/>
    <x v="80"/>
  </r>
  <r>
    <x v="0"/>
    <x v="0"/>
    <x v="0"/>
    <x v="3"/>
    <x v="7"/>
    <x v="139"/>
    <x v="74"/>
    <x v="77"/>
  </r>
  <r>
    <x v="0"/>
    <x v="0"/>
    <x v="0"/>
    <x v="3"/>
    <x v="8"/>
    <x v="152"/>
    <x v="62"/>
    <x v="100"/>
  </r>
  <r>
    <x v="0"/>
    <x v="0"/>
    <x v="0"/>
    <x v="0"/>
    <x v="9"/>
    <x v="118"/>
    <x v="27"/>
    <x v="54"/>
  </r>
  <r>
    <x v="0"/>
    <x v="0"/>
    <x v="0"/>
    <x v="0"/>
    <x v="10"/>
    <x v="100"/>
    <x v="19"/>
    <x v="37"/>
  </r>
  <r>
    <x v="0"/>
    <x v="0"/>
    <x v="0"/>
    <x v="0"/>
    <x v="11"/>
    <x v="85"/>
    <x v="27"/>
    <x v="53"/>
  </r>
  <r>
    <x v="0"/>
    <x v="0"/>
    <x v="0"/>
    <x v="0"/>
    <x v="12"/>
    <x v="107"/>
    <x v="26"/>
    <x v="47"/>
  </r>
  <r>
    <x v="0"/>
    <x v="0"/>
    <x v="0"/>
    <x v="0"/>
    <x v="13"/>
    <x v="119"/>
    <x v="24"/>
    <x v="40"/>
  </r>
  <r>
    <x v="0"/>
    <x v="0"/>
    <x v="0"/>
    <x v="0"/>
    <x v="14"/>
    <x v="95"/>
    <x v="15"/>
    <x v="41"/>
  </r>
  <r>
    <x v="0"/>
    <x v="0"/>
    <x v="0"/>
    <x v="0"/>
    <x v="15"/>
    <x v="110"/>
    <x v="14"/>
    <x v="46"/>
  </r>
  <r>
    <x v="0"/>
    <x v="0"/>
    <x v="0"/>
    <x v="0"/>
    <x v="16"/>
    <x v="89"/>
    <x v="26"/>
    <x v="44"/>
  </r>
  <r>
    <x v="0"/>
    <x v="0"/>
    <x v="0"/>
    <x v="0"/>
    <x v="17"/>
    <x v="105"/>
    <x v="20"/>
    <x v="62"/>
  </r>
  <r>
    <x v="0"/>
    <x v="0"/>
    <x v="0"/>
    <x v="0"/>
    <x v="18"/>
    <x v="103"/>
    <x v="26"/>
    <x v="49"/>
  </r>
  <r>
    <x v="0"/>
    <x v="0"/>
    <x v="0"/>
    <x v="0"/>
    <x v="19"/>
    <x v="108"/>
    <x v="19"/>
    <x v="33"/>
  </r>
  <r>
    <x v="0"/>
    <x v="0"/>
    <x v="0"/>
    <x v="0"/>
    <x v="20"/>
    <x v="104"/>
    <x v="13"/>
    <x v="32"/>
  </r>
  <r>
    <x v="0"/>
    <x v="0"/>
    <x v="0"/>
    <x v="1"/>
    <x v="21"/>
    <x v="20"/>
    <x v="12"/>
    <x v="16"/>
  </r>
  <r>
    <x v="0"/>
    <x v="0"/>
    <x v="0"/>
    <x v="1"/>
    <x v="22"/>
    <x v="36"/>
    <x v="10"/>
    <x v="11"/>
  </r>
  <r>
    <x v="0"/>
    <x v="0"/>
    <x v="0"/>
    <x v="1"/>
    <x v="23"/>
    <x v="36"/>
    <x v="17"/>
    <x v="2"/>
  </r>
  <r>
    <x v="0"/>
    <x v="0"/>
    <x v="0"/>
    <x v="1"/>
    <x v="24"/>
    <x v="37"/>
    <x v="9"/>
    <x v="6"/>
  </r>
  <r>
    <x v="0"/>
    <x v="0"/>
    <x v="0"/>
    <x v="1"/>
    <x v="25"/>
    <x v="45"/>
    <x v="13"/>
    <x v="12"/>
  </r>
  <r>
    <x v="0"/>
    <x v="0"/>
    <x v="0"/>
    <x v="1"/>
    <x v="26"/>
    <x v="45"/>
    <x v="19"/>
    <x v="10"/>
  </r>
  <r>
    <x v="0"/>
    <x v="0"/>
    <x v="0"/>
    <x v="1"/>
    <x v="27"/>
    <x v="38"/>
    <x v="13"/>
    <x v="11"/>
  </r>
  <r>
    <x v="0"/>
    <x v="0"/>
    <x v="0"/>
    <x v="1"/>
    <x v="28"/>
    <x v="42"/>
    <x v="12"/>
    <x v="12"/>
  </r>
  <r>
    <x v="0"/>
    <x v="0"/>
    <x v="0"/>
    <x v="1"/>
    <x v="29"/>
    <x v="32"/>
    <x v="19"/>
    <x v="16"/>
  </r>
  <r>
    <x v="0"/>
    <x v="0"/>
    <x v="0"/>
    <x v="5"/>
    <x v="30"/>
    <x v="80"/>
    <x v="32"/>
    <x v="18"/>
  </r>
  <r>
    <x v="0"/>
    <x v="0"/>
    <x v="0"/>
    <x v="5"/>
    <x v="31"/>
    <x v="60"/>
    <x v="23"/>
    <x v="23"/>
  </r>
  <r>
    <x v="0"/>
    <x v="0"/>
    <x v="0"/>
    <x v="5"/>
    <x v="32"/>
    <x v="53"/>
    <x v="28"/>
    <x v="24"/>
  </r>
  <r>
    <x v="0"/>
    <x v="0"/>
    <x v="0"/>
    <x v="5"/>
    <x v="33"/>
    <x v="47"/>
    <x v="20"/>
    <x v="15"/>
  </r>
  <r>
    <x v="0"/>
    <x v="0"/>
    <x v="0"/>
    <x v="5"/>
    <x v="34"/>
    <x v="73"/>
    <x v="33"/>
    <x v="30"/>
  </r>
  <r>
    <x v="0"/>
    <x v="0"/>
    <x v="0"/>
    <x v="5"/>
    <x v="35"/>
    <x v="56"/>
    <x v="19"/>
    <x v="16"/>
  </r>
  <r>
    <x v="0"/>
    <x v="0"/>
    <x v="0"/>
    <x v="5"/>
    <x v="36"/>
    <x v="61"/>
    <x v="29"/>
    <x v="14"/>
  </r>
  <r>
    <x v="0"/>
    <x v="0"/>
    <x v="0"/>
    <x v="5"/>
    <x v="37"/>
    <x v="78"/>
    <x v="17"/>
    <x v="31"/>
  </r>
  <r>
    <x v="0"/>
    <x v="0"/>
    <x v="0"/>
    <x v="5"/>
    <x v="38"/>
    <x v="48"/>
    <x v="28"/>
    <x v="39"/>
  </r>
  <r>
    <x v="0"/>
    <x v="0"/>
    <x v="0"/>
    <x v="5"/>
    <x v="39"/>
    <x v="58"/>
    <x v="23"/>
    <x v="22"/>
  </r>
  <r>
    <x v="0"/>
    <x v="0"/>
    <x v="0"/>
    <x v="2"/>
    <x v="40"/>
    <x v="54"/>
    <x v="10"/>
    <x v="17"/>
  </r>
  <r>
    <x v="0"/>
    <x v="0"/>
    <x v="0"/>
    <x v="2"/>
    <x v="41"/>
    <x v="41"/>
    <x v="10"/>
    <x v="12"/>
  </r>
  <r>
    <x v="0"/>
    <x v="0"/>
    <x v="0"/>
    <x v="2"/>
    <x v="42"/>
    <x v="50"/>
    <x v="19"/>
    <x v="5"/>
  </r>
  <r>
    <x v="0"/>
    <x v="0"/>
    <x v="0"/>
    <x v="2"/>
    <x v="43"/>
    <x v="64"/>
    <x v="23"/>
    <x v="28"/>
  </r>
  <r>
    <x v="0"/>
    <x v="0"/>
    <x v="0"/>
    <x v="2"/>
    <x v="44"/>
    <x v="25"/>
    <x v="14"/>
    <x v="4"/>
  </r>
  <r>
    <x v="0"/>
    <x v="0"/>
    <x v="0"/>
    <x v="2"/>
    <x v="45"/>
    <x v="57"/>
    <x v="15"/>
    <x v="7"/>
  </r>
  <r>
    <x v="0"/>
    <x v="0"/>
    <x v="0"/>
    <x v="2"/>
    <x v="46"/>
    <x v="40"/>
    <x v="26"/>
    <x v="24"/>
  </r>
  <r>
    <x v="0"/>
    <x v="0"/>
    <x v="0"/>
    <x v="2"/>
    <x v="47"/>
    <x v="32"/>
    <x v="12"/>
    <x v="27"/>
  </r>
  <r>
    <x v="0"/>
    <x v="0"/>
    <x v="0"/>
    <x v="4"/>
    <x v="48"/>
    <x v="90"/>
    <x v="26"/>
    <x v="50"/>
  </r>
  <r>
    <x v="0"/>
    <x v="0"/>
    <x v="0"/>
    <x v="4"/>
    <x v="49"/>
    <x v="102"/>
    <x v="23"/>
    <x v="68"/>
  </r>
  <r>
    <x v="0"/>
    <x v="0"/>
    <x v="0"/>
    <x v="4"/>
    <x v="50"/>
    <x v="80"/>
    <x v="19"/>
    <x v="43"/>
  </r>
  <r>
    <x v="0"/>
    <x v="0"/>
    <x v="0"/>
    <x v="4"/>
    <x v="51"/>
    <x v="79"/>
    <x v="32"/>
    <x v="48"/>
  </r>
  <r>
    <x v="0"/>
    <x v="0"/>
    <x v="0"/>
    <x v="4"/>
    <x v="52"/>
    <x v="79"/>
    <x v="21"/>
    <x v="41"/>
  </r>
  <r>
    <x v="0"/>
    <x v="0"/>
    <x v="0"/>
    <x v="4"/>
    <x v="53"/>
    <x v="109"/>
    <x v="28"/>
    <x v="69"/>
  </r>
  <r>
    <x v="0"/>
    <x v="0"/>
    <x v="0"/>
    <x v="4"/>
    <x v="54"/>
    <x v="94"/>
    <x v="19"/>
    <x v="63"/>
  </r>
  <r>
    <x v="0"/>
    <x v="0"/>
    <x v="0"/>
    <x v="4"/>
    <x v="55"/>
    <x v="106"/>
    <x v="39"/>
    <x v="50"/>
  </r>
  <r>
    <x v="0"/>
    <x v="0"/>
    <x v="0"/>
    <x v="4"/>
    <x v="56"/>
    <x v="75"/>
    <x v="38"/>
    <x v="62"/>
  </r>
  <r>
    <x v="0"/>
    <x v="0"/>
    <x v="0"/>
    <x v="4"/>
    <x v="57"/>
    <x v="91"/>
    <x v="23"/>
    <x v="56"/>
  </r>
  <r>
    <x v="0"/>
    <x v="0"/>
    <x v="0"/>
    <x v="4"/>
    <x v="58"/>
    <x v="97"/>
    <x v="25"/>
    <x v="66"/>
  </r>
  <r>
    <x v="0"/>
    <x v="0"/>
    <x v="0"/>
    <x v="4"/>
    <x v="59"/>
    <x v="109"/>
    <x v="19"/>
    <x v="41"/>
  </r>
  <r>
    <x v="0"/>
    <x v="1"/>
    <x v="1"/>
    <x v="3"/>
    <x v="180"/>
    <x v="134"/>
    <x v="49"/>
    <x v="101"/>
  </r>
  <r>
    <x v="0"/>
    <x v="1"/>
    <x v="1"/>
    <x v="3"/>
    <x v="181"/>
    <x v="144"/>
    <x v="46"/>
    <x v="108"/>
  </r>
  <r>
    <x v="0"/>
    <x v="1"/>
    <x v="1"/>
    <x v="3"/>
    <x v="182"/>
    <x v="130"/>
    <x v="55"/>
    <x v="110"/>
  </r>
  <r>
    <x v="0"/>
    <x v="1"/>
    <x v="1"/>
    <x v="3"/>
    <x v="183"/>
    <x v="127"/>
    <x v="55"/>
    <x v="105"/>
  </r>
  <r>
    <x v="0"/>
    <x v="1"/>
    <x v="1"/>
    <x v="3"/>
    <x v="184"/>
    <x v="145"/>
    <x v="52"/>
    <x v="109"/>
  </r>
  <r>
    <x v="0"/>
    <x v="1"/>
    <x v="1"/>
    <x v="3"/>
    <x v="185"/>
    <x v="137"/>
    <x v="57"/>
    <x v="97"/>
  </r>
  <r>
    <x v="0"/>
    <x v="1"/>
    <x v="1"/>
    <x v="3"/>
    <x v="186"/>
    <x v="126"/>
    <x v="44"/>
    <x v="84"/>
  </r>
  <r>
    <x v="0"/>
    <x v="1"/>
    <x v="1"/>
    <x v="3"/>
    <x v="187"/>
    <x v="121"/>
    <x v="59"/>
    <x v="88"/>
  </r>
  <r>
    <x v="0"/>
    <x v="1"/>
    <x v="1"/>
    <x v="3"/>
    <x v="188"/>
    <x v="123"/>
    <x v="45"/>
    <x v="110"/>
  </r>
  <r>
    <x v="0"/>
    <x v="1"/>
    <x v="1"/>
    <x v="3"/>
    <x v="189"/>
    <x v="141"/>
    <x v="58"/>
    <x v="90"/>
  </r>
  <r>
    <x v="0"/>
    <x v="1"/>
    <x v="1"/>
    <x v="3"/>
    <x v="190"/>
    <x v="124"/>
    <x v="51"/>
    <x v="100"/>
  </r>
  <r>
    <x v="0"/>
    <x v="1"/>
    <x v="1"/>
    <x v="3"/>
    <x v="191"/>
    <x v="122"/>
    <x v="53"/>
    <x v="89"/>
  </r>
  <r>
    <x v="0"/>
    <x v="1"/>
    <x v="1"/>
    <x v="0"/>
    <x v="192"/>
    <x v="99"/>
    <x v="12"/>
    <x v="46"/>
  </r>
  <r>
    <x v="0"/>
    <x v="1"/>
    <x v="1"/>
    <x v="0"/>
    <x v="193"/>
    <x v="98"/>
    <x v="8"/>
    <x v="51"/>
  </r>
  <r>
    <x v="0"/>
    <x v="1"/>
    <x v="1"/>
    <x v="0"/>
    <x v="194"/>
    <x v="55"/>
    <x v="9"/>
    <x v="54"/>
  </r>
  <r>
    <x v="0"/>
    <x v="1"/>
    <x v="1"/>
    <x v="0"/>
    <x v="195"/>
    <x v="81"/>
    <x v="7"/>
    <x v="55"/>
  </r>
  <r>
    <x v="0"/>
    <x v="1"/>
    <x v="1"/>
    <x v="0"/>
    <x v="196"/>
    <x v="56"/>
    <x v="8"/>
    <x v="42"/>
  </r>
  <r>
    <x v="0"/>
    <x v="1"/>
    <x v="1"/>
    <x v="0"/>
    <x v="197"/>
    <x v="76"/>
    <x v="5"/>
    <x v="39"/>
  </r>
  <r>
    <x v="0"/>
    <x v="1"/>
    <x v="1"/>
    <x v="0"/>
    <x v="198"/>
    <x v="69"/>
    <x v="7"/>
    <x v="58"/>
  </r>
  <r>
    <x v="0"/>
    <x v="1"/>
    <x v="1"/>
    <x v="0"/>
    <x v="199"/>
    <x v="83"/>
    <x v="14"/>
    <x v="60"/>
  </r>
  <r>
    <x v="0"/>
    <x v="1"/>
    <x v="1"/>
    <x v="0"/>
    <x v="200"/>
    <x v="89"/>
    <x v="16"/>
    <x v="52"/>
  </r>
  <r>
    <x v="0"/>
    <x v="1"/>
    <x v="1"/>
    <x v="0"/>
    <x v="201"/>
    <x v="71"/>
    <x v="18"/>
    <x v="43"/>
  </r>
  <r>
    <x v="0"/>
    <x v="1"/>
    <x v="1"/>
    <x v="1"/>
    <x v="202"/>
    <x v="16"/>
    <x v="1"/>
    <x v="24"/>
  </r>
  <r>
    <x v="0"/>
    <x v="1"/>
    <x v="1"/>
    <x v="1"/>
    <x v="203"/>
    <x v="24"/>
    <x v="8"/>
    <x v="22"/>
  </r>
  <r>
    <x v="0"/>
    <x v="1"/>
    <x v="1"/>
    <x v="1"/>
    <x v="204"/>
    <x v="21"/>
    <x v="2"/>
    <x v="16"/>
  </r>
  <r>
    <x v="0"/>
    <x v="1"/>
    <x v="1"/>
    <x v="1"/>
    <x v="205"/>
    <x v="12"/>
    <x v="10"/>
    <x v="24"/>
  </r>
  <r>
    <x v="0"/>
    <x v="1"/>
    <x v="1"/>
    <x v="1"/>
    <x v="206"/>
    <x v="22"/>
    <x v="7"/>
    <x v="26"/>
  </r>
  <r>
    <x v="0"/>
    <x v="1"/>
    <x v="1"/>
    <x v="1"/>
    <x v="207"/>
    <x v="17"/>
    <x v="9"/>
    <x v="9"/>
  </r>
  <r>
    <x v="0"/>
    <x v="1"/>
    <x v="1"/>
    <x v="1"/>
    <x v="208"/>
    <x v="0"/>
    <x v="2"/>
    <x v="12"/>
  </r>
  <r>
    <x v="0"/>
    <x v="1"/>
    <x v="1"/>
    <x v="1"/>
    <x v="209"/>
    <x v="1"/>
    <x v="10"/>
    <x v="17"/>
  </r>
  <r>
    <x v="0"/>
    <x v="1"/>
    <x v="1"/>
    <x v="1"/>
    <x v="210"/>
    <x v="15"/>
    <x v="8"/>
    <x v="20"/>
  </r>
  <r>
    <x v="0"/>
    <x v="1"/>
    <x v="1"/>
    <x v="1"/>
    <x v="211"/>
    <x v="12"/>
    <x v="1"/>
    <x v="23"/>
  </r>
  <r>
    <x v="0"/>
    <x v="1"/>
    <x v="1"/>
    <x v="1"/>
    <x v="212"/>
    <x v="19"/>
    <x v="7"/>
    <x v="17"/>
  </r>
  <r>
    <x v="0"/>
    <x v="1"/>
    <x v="1"/>
    <x v="1"/>
    <x v="213"/>
    <x v="16"/>
    <x v="2"/>
    <x v="22"/>
  </r>
  <r>
    <x v="0"/>
    <x v="1"/>
    <x v="1"/>
    <x v="5"/>
    <x v="214"/>
    <x v="47"/>
    <x v="21"/>
    <x v="24"/>
  </r>
  <r>
    <x v="0"/>
    <x v="1"/>
    <x v="1"/>
    <x v="5"/>
    <x v="215"/>
    <x v="44"/>
    <x v="11"/>
    <x v="35"/>
  </r>
  <r>
    <x v="0"/>
    <x v="1"/>
    <x v="1"/>
    <x v="5"/>
    <x v="216"/>
    <x v="31"/>
    <x v="21"/>
    <x v="19"/>
  </r>
  <r>
    <x v="0"/>
    <x v="1"/>
    <x v="1"/>
    <x v="5"/>
    <x v="217"/>
    <x v="51"/>
    <x v="12"/>
    <x v="18"/>
  </r>
  <r>
    <x v="0"/>
    <x v="1"/>
    <x v="1"/>
    <x v="5"/>
    <x v="218"/>
    <x v="39"/>
    <x v="11"/>
    <x v="34"/>
  </r>
  <r>
    <x v="0"/>
    <x v="1"/>
    <x v="1"/>
    <x v="5"/>
    <x v="219"/>
    <x v="27"/>
    <x v="18"/>
    <x v="37"/>
  </r>
  <r>
    <x v="0"/>
    <x v="1"/>
    <x v="1"/>
    <x v="5"/>
    <x v="220"/>
    <x v="38"/>
    <x v="10"/>
    <x v="31"/>
  </r>
  <r>
    <x v="0"/>
    <x v="1"/>
    <x v="1"/>
    <x v="5"/>
    <x v="221"/>
    <x v="32"/>
    <x v="23"/>
    <x v="20"/>
  </r>
  <r>
    <x v="0"/>
    <x v="1"/>
    <x v="1"/>
    <x v="5"/>
    <x v="222"/>
    <x v="22"/>
    <x v="15"/>
    <x v="37"/>
  </r>
  <r>
    <x v="0"/>
    <x v="1"/>
    <x v="1"/>
    <x v="5"/>
    <x v="223"/>
    <x v="24"/>
    <x v="15"/>
    <x v="39"/>
  </r>
  <r>
    <x v="0"/>
    <x v="1"/>
    <x v="1"/>
    <x v="2"/>
    <x v="224"/>
    <x v="9"/>
    <x v="17"/>
    <x v="32"/>
  </r>
  <r>
    <x v="0"/>
    <x v="1"/>
    <x v="1"/>
    <x v="2"/>
    <x v="225"/>
    <x v="4"/>
    <x v="10"/>
    <x v="30"/>
  </r>
  <r>
    <x v="0"/>
    <x v="1"/>
    <x v="1"/>
    <x v="2"/>
    <x v="226"/>
    <x v="35"/>
    <x v="10"/>
    <x v="15"/>
  </r>
  <r>
    <x v="0"/>
    <x v="1"/>
    <x v="1"/>
    <x v="2"/>
    <x v="227"/>
    <x v="10"/>
    <x v="17"/>
    <x v="13"/>
  </r>
  <r>
    <x v="0"/>
    <x v="1"/>
    <x v="1"/>
    <x v="2"/>
    <x v="228"/>
    <x v="22"/>
    <x v="6"/>
    <x v="22"/>
  </r>
  <r>
    <x v="0"/>
    <x v="1"/>
    <x v="1"/>
    <x v="2"/>
    <x v="229"/>
    <x v="35"/>
    <x v="6"/>
    <x v="30"/>
  </r>
  <r>
    <x v="0"/>
    <x v="1"/>
    <x v="1"/>
    <x v="2"/>
    <x v="230"/>
    <x v="18"/>
    <x v="16"/>
    <x v="27"/>
  </r>
  <r>
    <x v="0"/>
    <x v="1"/>
    <x v="1"/>
    <x v="2"/>
    <x v="231"/>
    <x v="11"/>
    <x v="16"/>
    <x v="21"/>
  </r>
  <r>
    <x v="0"/>
    <x v="1"/>
    <x v="1"/>
    <x v="2"/>
    <x v="232"/>
    <x v="5"/>
    <x v="4"/>
    <x v="21"/>
  </r>
  <r>
    <x v="0"/>
    <x v="1"/>
    <x v="1"/>
    <x v="2"/>
    <x v="233"/>
    <x v="17"/>
    <x v="8"/>
    <x v="11"/>
  </r>
  <r>
    <x v="0"/>
    <x v="1"/>
    <x v="1"/>
    <x v="2"/>
    <x v="234"/>
    <x v="14"/>
    <x v="9"/>
    <x v="30"/>
  </r>
  <r>
    <x v="0"/>
    <x v="1"/>
    <x v="1"/>
    <x v="2"/>
    <x v="235"/>
    <x v="4"/>
    <x v="14"/>
    <x v="30"/>
  </r>
  <r>
    <x v="0"/>
    <x v="1"/>
    <x v="1"/>
    <x v="4"/>
    <x v="236"/>
    <x v="83"/>
    <x v="15"/>
    <x v="47"/>
  </r>
  <r>
    <x v="0"/>
    <x v="1"/>
    <x v="1"/>
    <x v="4"/>
    <x v="237"/>
    <x v="72"/>
    <x v="16"/>
    <x v="49"/>
  </r>
  <r>
    <x v="0"/>
    <x v="1"/>
    <x v="1"/>
    <x v="4"/>
    <x v="238"/>
    <x v="58"/>
    <x v="27"/>
    <x v="49"/>
  </r>
  <r>
    <x v="0"/>
    <x v="1"/>
    <x v="1"/>
    <x v="4"/>
    <x v="239"/>
    <x v="82"/>
    <x v="25"/>
    <x v="72"/>
  </r>
  <r>
    <x v="0"/>
    <x v="1"/>
    <x v="1"/>
    <x v="4"/>
    <x v="240"/>
    <x v="52"/>
    <x v="12"/>
    <x v="67"/>
  </r>
  <r>
    <x v="0"/>
    <x v="1"/>
    <x v="1"/>
    <x v="4"/>
    <x v="241"/>
    <x v="67"/>
    <x v="14"/>
    <x v="75"/>
  </r>
  <r>
    <x v="0"/>
    <x v="1"/>
    <x v="1"/>
    <x v="4"/>
    <x v="242"/>
    <x v="60"/>
    <x v="17"/>
    <x v="71"/>
  </r>
  <r>
    <x v="0"/>
    <x v="1"/>
    <x v="1"/>
    <x v="4"/>
    <x v="243"/>
    <x v="75"/>
    <x v="19"/>
    <x v="47"/>
  </r>
  <r>
    <x v="0"/>
    <x v="1"/>
    <x v="0"/>
    <x v="3"/>
    <x v="123"/>
    <x v="159"/>
    <x v="75"/>
    <x v="103"/>
  </r>
  <r>
    <x v="0"/>
    <x v="1"/>
    <x v="0"/>
    <x v="3"/>
    <x v="124"/>
    <x v="157"/>
    <x v="56"/>
    <x v="106"/>
  </r>
  <r>
    <x v="0"/>
    <x v="1"/>
    <x v="0"/>
    <x v="3"/>
    <x v="125"/>
    <x v="153"/>
    <x v="71"/>
    <x v="104"/>
  </r>
  <r>
    <x v="0"/>
    <x v="1"/>
    <x v="0"/>
    <x v="3"/>
    <x v="126"/>
    <x v="148"/>
    <x v="56"/>
    <x v="112"/>
  </r>
  <r>
    <x v="0"/>
    <x v="1"/>
    <x v="0"/>
    <x v="3"/>
    <x v="127"/>
    <x v="142"/>
    <x v="65"/>
    <x v="92"/>
  </r>
  <r>
    <x v="0"/>
    <x v="1"/>
    <x v="0"/>
    <x v="3"/>
    <x v="128"/>
    <x v="149"/>
    <x v="70"/>
    <x v="113"/>
  </r>
  <r>
    <x v="0"/>
    <x v="1"/>
    <x v="0"/>
    <x v="3"/>
    <x v="129"/>
    <x v="147"/>
    <x v="68"/>
    <x v="91"/>
  </r>
  <r>
    <x v="0"/>
    <x v="1"/>
    <x v="0"/>
    <x v="3"/>
    <x v="130"/>
    <x v="156"/>
    <x v="63"/>
    <x v="86"/>
  </r>
  <r>
    <x v="0"/>
    <x v="1"/>
    <x v="0"/>
    <x v="3"/>
    <x v="131"/>
    <x v="143"/>
    <x v="60"/>
    <x v="111"/>
  </r>
  <r>
    <x v="0"/>
    <x v="1"/>
    <x v="0"/>
    <x v="3"/>
    <x v="132"/>
    <x v="155"/>
    <x v="60"/>
    <x v="111"/>
  </r>
  <r>
    <x v="0"/>
    <x v="1"/>
    <x v="0"/>
    <x v="3"/>
    <x v="133"/>
    <x v="160"/>
    <x v="64"/>
    <x v="85"/>
  </r>
  <r>
    <x v="0"/>
    <x v="1"/>
    <x v="0"/>
    <x v="0"/>
    <x v="134"/>
    <x v="101"/>
    <x v="15"/>
    <x v="57"/>
  </r>
  <r>
    <x v="0"/>
    <x v="1"/>
    <x v="0"/>
    <x v="0"/>
    <x v="135"/>
    <x v="105"/>
    <x v="18"/>
    <x v="64"/>
  </r>
  <r>
    <x v="0"/>
    <x v="1"/>
    <x v="0"/>
    <x v="0"/>
    <x v="136"/>
    <x v="99"/>
    <x v="12"/>
    <x v="65"/>
  </r>
  <r>
    <x v="0"/>
    <x v="1"/>
    <x v="0"/>
    <x v="0"/>
    <x v="137"/>
    <x v="107"/>
    <x v="25"/>
    <x v="45"/>
  </r>
  <r>
    <x v="0"/>
    <x v="1"/>
    <x v="0"/>
    <x v="0"/>
    <x v="138"/>
    <x v="102"/>
    <x v="25"/>
    <x v="55"/>
  </r>
  <r>
    <x v="0"/>
    <x v="1"/>
    <x v="0"/>
    <x v="0"/>
    <x v="139"/>
    <x v="116"/>
    <x v="18"/>
    <x v="61"/>
  </r>
  <r>
    <x v="0"/>
    <x v="1"/>
    <x v="0"/>
    <x v="0"/>
    <x v="140"/>
    <x v="114"/>
    <x v="26"/>
    <x v="65"/>
  </r>
  <r>
    <x v="0"/>
    <x v="1"/>
    <x v="0"/>
    <x v="0"/>
    <x v="141"/>
    <x v="93"/>
    <x v="28"/>
    <x v="52"/>
  </r>
  <r>
    <x v="0"/>
    <x v="1"/>
    <x v="0"/>
    <x v="0"/>
    <x v="142"/>
    <x v="117"/>
    <x v="19"/>
    <x v="49"/>
  </r>
  <r>
    <x v="0"/>
    <x v="1"/>
    <x v="0"/>
    <x v="1"/>
    <x v="143"/>
    <x v="23"/>
    <x v="13"/>
    <x v="23"/>
  </r>
  <r>
    <x v="0"/>
    <x v="1"/>
    <x v="0"/>
    <x v="1"/>
    <x v="144"/>
    <x v="54"/>
    <x v="22"/>
    <x v="16"/>
  </r>
  <r>
    <x v="0"/>
    <x v="1"/>
    <x v="0"/>
    <x v="1"/>
    <x v="145"/>
    <x v="21"/>
    <x v="21"/>
    <x v="27"/>
  </r>
  <r>
    <x v="0"/>
    <x v="1"/>
    <x v="0"/>
    <x v="1"/>
    <x v="146"/>
    <x v="42"/>
    <x v="14"/>
    <x v="15"/>
  </r>
  <r>
    <x v="0"/>
    <x v="1"/>
    <x v="0"/>
    <x v="1"/>
    <x v="147"/>
    <x v="53"/>
    <x v="10"/>
    <x v="7"/>
  </r>
  <r>
    <x v="0"/>
    <x v="1"/>
    <x v="0"/>
    <x v="1"/>
    <x v="148"/>
    <x v="61"/>
    <x v="9"/>
    <x v="24"/>
  </r>
  <r>
    <x v="0"/>
    <x v="1"/>
    <x v="0"/>
    <x v="1"/>
    <x v="149"/>
    <x v="50"/>
    <x v="20"/>
    <x v="26"/>
  </r>
  <r>
    <x v="0"/>
    <x v="1"/>
    <x v="0"/>
    <x v="1"/>
    <x v="150"/>
    <x v="22"/>
    <x v="19"/>
    <x v="3"/>
  </r>
  <r>
    <x v="0"/>
    <x v="1"/>
    <x v="0"/>
    <x v="5"/>
    <x v="151"/>
    <x v="56"/>
    <x v="34"/>
    <x v="35"/>
  </r>
  <r>
    <x v="0"/>
    <x v="1"/>
    <x v="0"/>
    <x v="5"/>
    <x v="152"/>
    <x v="59"/>
    <x v="19"/>
    <x v="24"/>
  </r>
  <r>
    <x v="0"/>
    <x v="1"/>
    <x v="0"/>
    <x v="5"/>
    <x v="153"/>
    <x v="74"/>
    <x v="31"/>
    <x v="20"/>
  </r>
  <r>
    <x v="0"/>
    <x v="1"/>
    <x v="0"/>
    <x v="5"/>
    <x v="154"/>
    <x v="46"/>
    <x v="27"/>
    <x v="33"/>
  </r>
  <r>
    <x v="0"/>
    <x v="1"/>
    <x v="0"/>
    <x v="5"/>
    <x v="155"/>
    <x v="63"/>
    <x v="21"/>
    <x v="34"/>
  </r>
  <r>
    <x v="0"/>
    <x v="1"/>
    <x v="0"/>
    <x v="5"/>
    <x v="156"/>
    <x v="43"/>
    <x v="22"/>
    <x v="31"/>
  </r>
  <r>
    <x v="0"/>
    <x v="1"/>
    <x v="0"/>
    <x v="5"/>
    <x v="157"/>
    <x v="87"/>
    <x v="30"/>
    <x v="42"/>
  </r>
  <r>
    <x v="0"/>
    <x v="1"/>
    <x v="0"/>
    <x v="5"/>
    <x v="158"/>
    <x v="66"/>
    <x v="21"/>
    <x v="24"/>
  </r>
  <r>
    <x v="0"/>
    <x v="1"/>
    <x v="0"/>
    <x v="5"/>
    <x v="159"/>
    <x v="87"/>
    <x v="31"/>
    <x v="26"/>
  </r>
  <r>
    <x v="0"/>
    <x v="1"/>
    <x v="0"/>
    <x v="2"/>
    <x v="160"/>
    <x v="35"/>
    <x v="28"/>
    <x v="25"/>
  </r>
  <r>
    <x v="0"/>
    <x v="1"/>
    <x v="0"/>
    <x v="2"/>
    <x v="161"/>
    <x v="30"/>
    <x v="16"/>
    <x v="19"/>
  </r>
  <r>
    <x v="0"/>
    <x v="1"/>
    <x v="0"/>
    <x v="2"/>
    <x v="162"/>
    <x v="44"/>
    <x v="20"/>
    <x v="26"/>
  </r>
  <r>
    <x v="0"/>
    <x v="1"/>
    <x v="0"/>
    <x v="2"/>
    <x v="163"/>
    <x v="61"/>
    <x v="18"/>
    <x v="18"/>
  </r>
  <r>
    <x v="0"/>
    <x v="1"/>
    <x v="0"/>
    <x v="2"/>
    <x v="164"/>
    <x v="26"/>
    <x v="17"/>
    <x v="30"/>
  </r>
  <r>
    <x v="0"/>
    <x v="1"/>
    <x v="0"/>
    <x v="2"/>
    <x v="165"/>
    <x v="29"/>
    <x v="20"/>
    <x v="13"/>
  </r>
  <r>
    <x v="0"/>
    <x v="1"/>
    <x v="0"/>
    <x v="2"/>
    <x v="166"/>
    <x v="62"/>
    <x v="15"/>
    <x v="20"/>
  </r>
  <r>
    <x v="0"/>
    <x v="1"/>
    <x v="0"/>
    <x v="2"/>
    <x v="167"/>
    <x v="39"/>
    <x v="28"/>
    <x v="11"/>
  </r>
  <r>
    <x v="0"/>
    <x v="1"/>
    <x v="0"/>
    <x v="4"/>
    <x v="168"/>
    <x v="96"/>
    <x v="25"/>
    <x v="54"/>
  </r>
  <r>
    <x v="0"/>
    <x v="1"/>
    <x v="0"/>
    <x v="4"/>
    <x v="169"/>
    <x v="92"/>
    <x v="35"/>
    <x v="74"/>
  </r>
  <r>
    <x v="0"/>
    <x v="1"/>
    <x v="0"/>
    <x v="4"/>
    <x v="170"/>
    <x v="80"/>
    <x v="30"/>
    <x v="54"/>
  </r>
  <r>
    <x v="0"/>
    <x v="1"/>
    <x v="0"/>
    <x v="4"/>
    <x v="171"/>
    <x v="115"/>
    <x v="24"/>
    <x v="48"/>
  </r>
  <r>
    <x v="0"/>
    <x v="1"/>
    <x v="0"/>
    <x v="4"/>
    <x v="172"/>
    <x v="75"/>
    <x v="30"/>
    <x v="73"/>
  </r>
  <r>
    <x v="0"/>
    <x v="1"/>
    <x v="0"/>
    <x v="4"/>
    <x v="173"/>
    <x v="111"/>
    <x v="36"/>
    <x v="76"/>
  </r>
  <r>
    <x v="0"/>
    <x v="1"/>
    <x v="0"/>
    <x v="4"/>
    <x v="174"/>
    <x v="112"/>
    <x v="29"/>
    <x v="53"/>
  </r>
  <r>
    <x v="0"/>
    <x v="1"/>
    <x v="0"/>
    <x v="4"/>
    <x v="175"/>
    <x v="113"/>
    <x v="37"/>
    <x v="47"/>
  </r>
  <r>
    <x v="0"/>
    <x v="1"/>
    <x v="0"/>
    <x v="4"/>
    <x v="176"/>
    <x v="103"/>
    <x v="30"/>
    <x v="60"/>
  </r>
  <r>
    <x v="0"/>
    <x v="1"/>
    <x v="0"/>
    <x v="4"/>
    <x v="177"/>
    <x v="88"/>
    <x v="25"/>
    <x v="46"/>
  </r>
  <r>
    <x v="0"/>
    <x v="1"/>
    <x v="0"/>
    <x v="4"/>
    <x v="178"/>
    <x v="86"/>
    <x v="29"/>
    <x v="75"/>
  </r>
  <r>
    <x v="0"/>
    <x v="1"/>
    <x v="0"/>
    <x v="4"/>
    <x v="179"/>
    <x v="78"/>
    <x v="41"/>
    <x v="54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원가피벗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A7:F33" firstHeaderRow="1" firstDataRow="2" firstDataCol="3" rowPageCount="1" colPageCount="1"/>
  <pivotFields count="8">
    <pivotField axis="axisPage" compact="0" showAll="0" defaultSubtotal="0">
      <items count="1">
        <item x="0"/>
      </items>
    </pivotField>
    <pivotField axis="axisRow" compact="0" showAll="0" defaultSubtotal="0">
      <items count="2">
        <item x="0"/>
        <item x="1"/>
      </items>
    </pivotField>
    <pivotField axis="axisRow" compact="0" showAll="0" defaultSubtotal="0">
      <items count="2">
        <item x="0"/>
        <item x="1"/>
      </items>
    </pivotField>
    <pivotField axis="axisRow" compact="0" showAll="0" defaultSubtotal="0">
      <items count="6">
        <item x="0"/>
        <item x="1"/>
        <item x="2"/>
        <item x="3"/>
        <item x="4"/>
        <item x="5"/>
      </items>
    </pivotField>
    <pivotField compact="0" showAll="0"/>
    <pivotField dataField="1" compact="0" showAll="0"/>
    <pivotField dataField="1" compact="0" showAll="0"/>
    <pivotField dataField="1" compact="0" showAll="0"/>
  </pivotFields>
  <rowFields count="3">
    <field x="1"/>
    <field x="2"/>
    <field x="3"/>
  </rowFields>
  <colFields count="1">
    <field x="-2"/>
  </colFields>
  <pageFields count="1">
    <pageField fld="0" hier="-1"/>
  </pageFields>
  <dataFields count="3">
    <dataField name="평균 : 원자재" fld="5" subtotal="average" numFmtId="168"/>
    <dataField name="평균 : 부자재" fld="6" subtotal="average" numFmtId="168"/>
    <dataField name="평균 : 가공임" fld="7" subtotal="average" numFmtId="168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원가데이터" displayName="원가데이터" ref="A3:H247">
  <autoFilter ref="A3:H247"/>
  <tableColumns count="8">
    <tableColumn id="1" name="브랜드"/>
    <tableColumn id="2" name="년도"/>
    <tableColumn id="3" name="시즌"/>
    <tableColumn id="4" name="품목"/>
    <tableColumn id="5" name="스타일번호"/>
    <tableColumn id="6" name="원자재"/>
    <tableColumn id="7" name="부자재"/>
    <tableColumn id="8" name="가공임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 standalone="yes"?><Relationships xmlns="http://schemas.openxmlformats.org/package/2006/relationships"><Relationship Id="rIdTbl1" Type="http://schemas.openxmlformats.org/officeDocument/2006/relationships/table" Target="../tables/table1.xml"/>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tr">
        <f aca="false">"브랜드: "&amp;설정!$C$4&amp;"   |   기준 시즌: "&amp;설정!$C$15&amp;" "&amp;설정!$C$16&amp;"   (설정 시트에서 변경)"</f>
        <v>브랜드: 브랜드A   |   기준 시즌: 2026 FW   (설정 시트에서 변경)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45"/>
  </cols>
  <sheetData>
    <row r="1" customFormat="false" ht="17.35" hidden="false" customHeight="false" outlineLevel="0" collapsed="false">
      <c r="A1" s="3" t="s">
        <v>1</v>
      </c>
    </row>
    <row r="2" customFormat="false" ht="15" hidden="false" customHeight="false" outlineLevel="0" collapsed="false">
      <c r="A2" s="4" t="s">
        <v>2</v>
      </c>
    </row>
    <row r="4" customFormat="false" ht="15" hidden="false" customHeight="false" outlineLevel="0" collapsed="false">
      <c r="B4" s="5" t="s">
        <v>3</v>
      </c>
      <c r="C4" s="6" t="s">
        <v>4</v>
      </c>
      <c r="D4" s="7" t="s">
        <v>5</v>
      </c>
    </row>
    <row r="5" customFormat="false" ht="15" hidden="false" customHeight="false" outlineLevel="0" collapsed="false">
      <c r="B5" s="5" t="s">
        <v>6</v>
      </c>
      <c r="C5" s="6" t="n">
        <v>2025</v>
      </c>
    </row>
    <row r="6" customFormat="false" ht="15" hidden="false" customHeight="false" outlineLevel="0" collapsed="false">
      <c r="B6" s="5" t="s">
        <v>7</v>
      </c>
      <c r="C6" s="6" t="n">
        <v>2026</v>
      </c>
    </row>
    <row r="7" customFormat="false" ht="15" hidden="false" customHeight="false" outlineLevel="0" collapsed="false">
      <c r="B7" s="5" t="s">
        <v>8</v>
      </c>
      <c r="C7" s="8" t="s">
        <v>9</v>
      </c>
    </row>
    <row r="8" customFormat="false" ht="15" hidden="false" customHeight="false" outlineLevel="0" collapsed="false">
      <c r="B8" s="5" t="s">
        <v>10</v>
      </c>
      <c r="C8" s="8" t="s">
        <v>11</v>
      </c>
    </row>
    <row r="9" customFormat="false" ht="15" hidden="false" customHeight="false" outlineLevel="0" collapsed="false">
      <c r="B9" s="5" t="s">
        <v>12</v>
      </c>
      <c r="C9" s="6" t="s">
        <v>13</v>
      </c>
    </row>
    <row r="10" customFormat="false" ht="15" hidden="false" customHeight="false" outlineLevel="0" collapsed="false">
      <c r="B10" s="5" t="s">
        <v>14</v>
      </c>
      <c r="C10" s="6" t="s">
        <v>15</v>
      </c>
    </row>
    <row r="11" customFormat="false" ht="15" hidden="false" customHeight="false" outlineLevel="0" collapsed="false">
      <c r="B11" s="5" t="s">
        <v>16</v>
      </c>
      <c r="C11" s="6" t="s">
        <v>17</v>
      </c>
    </row>
    <row r="12" customFormat="false" ht="15" hidden="false" customHeight="false" outlineLevel="0" collapsed="false">
      <c r="B12" s="5" t="s">
        <v>18</v>
      </c>
      <c r="C12" s="6" t="s">
        <v>19</v>
      </c>
    </row>
    <row r="13" customFormat="false" ht="15" hidden="false" customHeight="false" outlineLevel="0" collapsed="false">
      <c r="B13" s="5" t="s">
        <v>20</v>
      </c>
      <c r="C13" s="6" t="s">
        <v>21</v>
      </c>
    </row>
    <row r="14" customFormat="false" ht="15" hidden="false" customHeight="false" outlineLevel="0" collapsed="false">
      <c r="B14" s="5" t="s">
        <v>22</v>
      </c>
      <c r="C14" s="6" t="s">
        <v>23</v>
      </c>
    </row>
    <row r="15" customFormat="false" ht="15" hidden="false" customHeight="false" outlineLevel="0" collapsed="false">
      <c r="B15" s="5" t="s">
        <v>24</v>
      </c>
      <c r="C15" s="8" t="n">
        <v>2026</v>
      </c>
      <c r="D15" s="2" t="s">
        <v>25</v>
      </c>
    </row>
    <row r="16" customFormat="false" ht="15" hidden="false" customHeight="false" outlineLevel="0" collapsed="false">
      <c r="B16" s="5" t="s">
        <v>26</v>
      </c>
      <c r="C16" s="8" t="s">
        <v>11</v>
      </c>
      <c r="D16" s="2" t="s">
        <v>27</v>
      </c>
    </row>
  </sheetData>
  <dataValidations count="2">
    <dataValidation allowBlank="false" errorStyle="stop" operator="between" showDropDown="false" showErrorMessage="false" showInputMessage="false" sqref="C15" type="list">
      <formula1>$C$5:$C$6</formula1>
      <formula2>0</formula2>
    </dataValidation>
    <dataValidation allowBlank="false" errorStyle="stop" operator="between" showDropDown="false" showErrorMessage="false" showInputMessage="false" sqref="C16" type="list">
      <formula1>$C$7:$C$8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8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8" min="6" style="0" width="12"/>
    <col collapsed="false" customWidth="true" hidden="false" outlineLevel="0" max="10" min="10" style="0" width="70"/>
  </cols>
  <sheetData>
    <row r="1" customFormat="false" ht="19.4" hidden="false" customHeight="false" outlineLevel="0" collapsed="false">
      <c r="A1" s="3" t="s">
        <v>28</v>
      </c>
    </row>
    <row r="2" customFormat="false" ht="15" hidden="false" customHeight="false" outlineLevel="0" collapsed="false">
      <c r="A2" s="9" t="s">
        <v>29</v>
      </c>
    </row>
    <row r="3" customFormat="false" ht="15" hidden="false" customHeight="false" outlineLevel="0" collapsed="false">
      <c r="A3" s="10" t="s">
        <v>3</v>
      </c>
      <c r="B3" s="10" t="s">
        <v>30</v>
      </c>
      <c r="C3" s="10" t="s">
        <v>31</v>
      </c>
      <c r="D3" s="10" t="s">
        <v>32</v>
      </c>
      <c r="E3" s="10" t="s">
        <v>33</v>
      </c>
      <c r="F3" s="10" t="s">
        <v>34</v>
      </c>
      <c r="G3" s="10" t="s">
        <v>35</v>
      </c>
      <c r="H3" s="10" t="s">
        <v>36</v>
      </c>
      <c r="J3" s="11" t="s">
        <v>37</v>
      </c>
    </row>
    <row r="4" customFormat="false" ht="15" hidden="false" customHeight="false" outlineLevel="0" collapsed="false">
      <c r="A4" s="12" t="s">
        <v>4</v>
      </c>
      <c r="B4" s="12" t="n">
        <v>2025</v>
      </c>
      <c r="C4" s="13" t="s">
        <v>9</v>
      </c>
      <c r="D4" s="12" t="s">
        <v>13</v>
      </c>
      <c r="E4" s="13" t="s">
        <v>38</v>
      </c>
      <c r="F4" s="14" t="n">
        <v>52100</v>
      </c>
      <c r="G4" s="14" t="n">
        <v>7200</v>
      </c>
      <c r="H4" s="14" t="n">
        <v>24200</v>
      </c>
      <c r="J4" s="15" t="s">
        <v>39</v>
      </c>
    </row>
    <row r="5" customFormat="false" ht="15" hidden="false" customHeight="false" outlineLevel="0" collapsed="false">
      <c r="A5" s="12" t="s">
        <v>4</v>
      </c>
      <c r="B5" s="12" t="n">
        <v>2025</v>
      </c>
      <c r="C5" s="13" t="s">
        <v>9</v>
      </c>
      <c r="D5" s="12" t="s">
        <v>13</v>
      </c>
      <c r="E5" s="13" t="s">
        <v>40</v>
      </c>
      <c r="F5" s="14" t="n">
        <v>49900</v>
      </c>
      <c r="G5" s="14" t="n">
        <v>6100</v>
      </c>
      <c r="H5" s="14" t="n">
        <v>28700</v>
      </c>
      <c r="J5" s="15" t="s">
        <v>41</v>
      </c>
    </row>
    <row r="6" customFormat="false" ht="15" hidden="false" customHeight="false" outlineLevel="0" collapsed="false">
      <c r="A6" s="12" t="s">
        <v>4</v>
      </c>
      <c r="B6" s="12" t="n">
        <v>2025</v>
      </c>
      <c r="C6" s="13" t="s">
        <v>9</v>
      </c>
      <c r="D6" s="12" t="s">
        <v>13</v>
      </c>
      <c r="E6" s="13" t="s">
        <v>42</v>
      </c>
      <c r="F6" s="14" t="n">
        <v>51400</v>
      </c>
      <c r="G6" s="14" t="n">
        <v>6600</v>
      </c>
      <c r="H6" s="14" t="n">
        <v>24500</v>
      </c>
      <c r="J6" s="15" t="s">
        <v>43</v>
      </c>
    </row>
    <row r="7" customFormat="false" ht="15" hidden="false" customHeight="false" outlineLevel="0" collapsed="false">
      <c r="A7" s="12" t="s">
        <v>4</v>
      </c>
      <c r="B7" s="12" t="n">
        <v>2025</v>
      </c>
      <c r="C7" s="13" t="s">
        <v>9</v>
      </c>
      <c r="D7" s="12" t="s">
        <v>13</v>
      </c>
      <c r="E7" s="13" t="s">
        <v>44</v>
      </c>
      <c r="F7" s="14" t="n">
        <v>42800</v>
      </c>
      <c r="G7" s="14" t="n">
        <v>6700</v>
      </c>
      <c r="H7" s="14" t="n">
        <v>28400</v>
      </c>
      <c r="J7" s="15" t="s">
        <v>45</v>
      </c>
    </row>
    <row r="8" customFormat="false" ht="15" hidden="false" customHeight="false" outlineLevel="0" collapsed="false">
      <c r="A8" s="12" t="s">
        <v>4</v>
      </c>
      <c r="B8" s="12" t="n">
        <v>2025</v>
      </c>
      <c r="C8" s="13" t="s">
        <v>9</v>
      </c>
      <c r="D8" s="12" t="s">
        <v>13</v>
      </c>
      <c r="E8" s="13" t="s">
        <v>46</v>
      </c>
      <c r="F8" s="14" t="n">
        <v>36400</v>
      </c>
      <c r="G8" s="14" t="n">
        <v>7900</v>
      </c>
      <c r="H8" s="14" t="n">
        <v>31800</v>
      </c>
      <c r="J8" s="15" t="s">
        <v>47</v>
      </c>
    </row>
    <row r="9" customFormat="false" ht="15" hidden="false" customHeight="false" outlineLevel="0" collapsed="false">
      <c r="A9" s="12" t="s">
        <v>4</v>
      </c>
      <c r="B9" s="12" t="n">
        <v>2025</v>
      </c>
      <c r="C9" s="13" t="s">
        <v>9</v>
      </c>
      <c r="D9" s="12" t="s">
        <v>13</v>
      </c>
      <c r="E9" s="13" t="s">
        <v>48</v>
      </c>
      <c r="F9" s="14" t="n">
        <v>46500</v>
      </c>
      <c r="G9" s="14" t="n">
        <v>8000</v>
      </c>
      <c r="H9" s="14" t="n">
        <v>24300</v>
      </c>
      <c r="J9" s="15" t="s">
        <v>49</v>
      </c>
    </row>
    <row r="10" customFormat="false" ht="15" hidden="false" customHeight="false" outlineLevel="0" collapsed="false">
      <c r="A10" s="12" t="s">
        <v>4</v>
      </c>
      <c r="B10" s="12" t="n">
        <v>2025</v>
      </c>
      <c r="C10" s="13" t="s">
        <v>9</v>
      </c>
      <c r="D10" s="12" t="s">
        <v>13</v>
      </c>
      <c r="E10" s="13" t="s">
        <v>50</v>
      </c>
      <c r="F10" s="14" t="n">
        <v>45700</v>
      </c>
      <c r="G10" s="14" t="n">
        <v>5900</v>
      </c>
      <c r="H10" s="14" t="n">
        <v>25700</v>
      </c>
    </row>
    <row r="11" customFormat="false" ht="15" hidden="false" customHeight="false" outlineLevel="0" collapsed="false">
      <c r="A11" s="12" t="s">
        <v>4</v>
      </c>
      <c r="B11" s="12" t="n">
        <v>2025</v>
      </c>
      <c r="C11" s="13" t="s">
        <v>9</v>
      </c>
      <c r="D11" s="12" t="s">
        <v>13</v>
      </c>
      <c r="E11" s="13" t="s">
        <v>51</v>
      </c>
      <c r="F11" s="14" t="n">
        <v>45200</v>
      </c>
      <c r="G11" s="14" t="n">
        <v>6200</v>
      </c>
      <c r="H11" s="14" t="n">
        <v>27300</v>
      </c>
    </row>
    <row r="12" customFormat="false" ht="15" hidden="false" customHeight="false" outlineLevel="0" collapsed="false">
      <c r="A12" s="12" t="s">
        <v>4</v>
      </c>
      <c r="B12" s="12" t="n">
        <v>2025</v>
      </c>
      <c r="C12" s="13" t="s">
        <v>9</v>
      </c>
      <c r="D12" s="12" t="s">
        <v>13</v>
      </c>
      <c r="E12" s="13" t="s">
        <v>52</v>
      </c>
      <c r="F12" s="14" t="n">
        <v>44900</v>
      </c>
      <c r="G12" s="14" t="n">
        <v>7900</v>
      </c>
      <c r="H12" s="14" t="n">
        <v>28500</v>
      </c>
    </row>
    <row r="13" customFormat="false" ht="15" hidden="false" customHeight="false" outlineLevel="0" collapsed="false">
      <c r="A13" s="12" t="s">
        <v>4</v>
      </c>
      <c r="B13" s="12" t="n">
        <v>2025</v>
      </c>
      <c r="C13" s="13" t="s">
        <v>9</v>
      </c>
      <c r="D13" s="12" t="s">
        <v>13</v>
      </c>
      <c r="E13" s="13" t="s">
        <v>53</v>
      </c>
      <c r="F13" s="14" t="n">
        <v>47400</v>
      </c>
      <c r="G13" s="14" t="n">
        <v>6100</v>
      </c>
      <c r="H13" s="14" t="n">
        <v>28600</v>
      </c>
    </row>
    <row r="14" customFormat="false" ht="15" hidden="false" customHeight="false" outlineLevel="0" collapsed="false">
      <c r="A14" s="12" t="s">
        <v>4</v>
      </c>
      <c r="B14" s="12" t="n">
        <v>2025</v>
      </c>
      <c r="C14" s="13" t="s">
        <v>9</v>
      </c>
      <c r="D14" s="12" t="s">
        <v>15</v>
      </c>
      <c r="E14" s="13" t="s">
        <v>54</v>
      </c>
      <c r="F14" s="14" t="n">
        <v>16900</v>
      </c>
      <c r="G14" s="14" t="n">
        <v>2600</v>
      </c>
      <c r="H14" s="14" t="n">
        <v>10400</v>
      </c>
    </row>
    <row r="15" customFormat="false" ht="15" hidden="false" customHeight="false" outlineLevel="0" collapsed="false">
      <c r="A15" s="12" t="s">
        <v>4</v>
      </c>
      <c r="B15" s="12" t="n">
        <v>2025</v>
      </c>
      <c r="C15" s="13" t="s">
        <v>9</v>
      </c>
      <c r="D15" s="12" t="s">
        <v>15</v>
      </c>
      <c r="E15" s="13" t="s">
        <v>55</v>
      </c>
      <c r="F15" s="14" t="n">
        <v>14700</v>
      </c>
      <c r="G15" s="14" t="n">
        <v>2200</v>
      </c>
      <c r="H15" s="14" t="n">
        <v>12600</v>
      </c>
    </row>
    <row r="16" customFormat="false" ht="15" hidden="false" customHeight="false" outlineLevel="0" collapsed="false">
      <c r="A16" s="12" t="s">
        <v>4</v>
      </c>
      <c r="B16" s="12" t="n">
        <v>2025</v>
      </c>
      <c r="C16" s="13" t="s">
        <v>9</v>
      </c>
      <c r="D16" s="12" t="s">
        <v>15</v>
      </c>
      <c r="E16" s="13" t="s">
        <v>56</v>
      </c>
      <c r="F16" s="14" t="n">
        <v>17300</v>
      </c>
      <c r="G16" s="14" t="n">
        <v>2300</v>
      </c>
      <c r="H16" s="14" t="n">
        <v>12300</v>
      </c>
    </row>
    <row r="17" customFormat="false" ht="15" hidden="false" customHeight="false" outlineLevel="0" collapsed="false">
      <c r="A17" s="12" t="s">
        <v>4</v>
      </c>
      <c r="B17" s="12" t="n">
        <v>2025</v>
      </c>
      <c r="C17" s="13" t="s">
        <v>9</v>
      </c>
      <c r="D17" s="12" t="s">
        <v>15</v>
      </c>
      <c r="E17" s="13" t="s">
        <v>57</v>
      </c>
      <c r="F17" s="14" t="n">
        <v>17500</v>
      </c>
      <c r="G17" s="14" t="n">
        <v>2300</v>
      </c>
      <c r="H17" s="14" t="n">
        <v>13100</v>
      </c>
    </row>
    <row r="18" customFormat="false" ht="15" hidden="false" customHeight="false" outlineLevel="0" collapsed="false">
      <c r="A18" s="12" t="s">
        <v>4</v>
      </c>
      <c r="B18" s="12" t="n">
        <v>2025</v>
      </c>
      <c r="C18" s="13" t="s">
        <v>9</v>
      </c>
      <c r="D18" s="12" t="s">
        <v>15</v>
      </c>
      <c r="E18" s="13" t="s">
        <v>58</v>
      </c>
      <c r="F18" s="14" t="n">
        <v>19300</v>
      </c>
      <c r="G18" s="14" t="n">
        <v>2200</v>
      </c>
      <c r="H18" s="14" t="n">
        <v>12300</v>
      </c>
    </row>
    <row r="19" customFormat="false" ht="15" hidden="false" customHeight="false" outlineLevel="0" collapsed="false">
      <c r="A19" s="12" t="s">
        <v>4</v>
      </c>
      <c r="B19" s="12" t="n">
        <v>2025</v>
      </c>
      <c r="C19" s="13" t="s">
        <v>9</v>
      </c>
      <c r="D19" s="12" t="s">
        <v>15</v>
      </c>
      <c r="E19" s="13" t="s">
        <v>59</v>
      </c>
      <c r="F19" s="14" t="n">
        <v>18000</v>
      </c>
      <c r="G19" s="14" t="n">
        <v>3000</v>
      </c>
      <c r="H19" s="14" t="n">
        <v>12800</v>
      </c>
    </row>
    <row r="20" customFormat="false" ht="15" hidden="false" customHeight="false" outlineLevel="0" collapsed="false">
      <c r="A20" s="12" t="s">
        <v>4</v>
      </c>
      <c r="B20" s="12" t="n">
        <v>2025</v>
      </c>
      <c r="C20" s="13" t="s">
        <v>9</v>
      </c>
      <c r="D20" s="12" t="s">
        <v>15</v>
      </c>
      <c r="E20" s="13" t="s">
        <v>60</v>
      </c>
      <c r="F20" s="14" t="n">
        <v>16300</v>
      </c>
      <c r="G20" s="14" t="n">
        <v>3200</v>
      </c>
      <c r="H20" s="14" t="n">
        <v>10600</v>
      </c>
    </row>
    <row r="21" customFormat="false" ht="15" hidden="false" customHeight="false" outlineLevel="0" collapsed="false">
      <c r="A21" s="12" t="s">
        <v>4</v>
      </c>
      <c r="B21" s="12" t="n">
        <v>2025</v>
      </c>
      <c r="C21" s="13" t="s">
        <v>9</v>
      </c>
      <c r="D21" s="12" t="s">
        <v>15</v>
      </c>
      <c r="E21" s="13" t="s">
        <v>61</v>
      </c>
      <c r="F21" s="14" t="n">
        <v>17300</v>
      </c>
      <c r="G21" s="14" t="n">
        <v>2900</v>
      </c>
      <c r="H21" s="14" t="n">
        <v>10700</v>
      </c>
    </row>
    <row r="22" customFormat="false" ht="15" hidden="false" customHeight="false" outlineLevel="0" collapsed="false">
      <c r="A22" s="12" t="s">
        <v>4</v>
      </c>
      <c r="B22" s="12" t="n">
        <v>2025</v>
      </c>
      <c r="C22" s="13" t="s">
        <v>9</v>
      </c>
      <c r="D22" s="12" t="s">
        <v>15</v>
      </c>
      <c r="E22" s="13" t="s">
        <v>62</v>
      </c>
      <c r="F22" s="14" t="n">
        <v>17800</v>
      </c>
      <c r="G22" s="14" t="n">
        <v>2000</v>
      </c>
      <c r="H22" s="14" t="n">
        <v>12600</v>
      </c>
    </row>
    <row r="23" customFormat="false" ht="15" hidden="false" customHeight="false" outlineLevel="0" collapsed="false">
      <c r="A23" s="12" t="s">
        <v>4</v>
      </c>
      <c r="B23" s="12" t="n">
        <v>2025</v>
      </c>
      <c r="C23" s="13" t="s">
        <v>9</v>
      </c>
      <c r="D23" s="12" t="s">
        <v>17</v>
      </c>
      <c r="E23" s="13" t="s">
        <v>63</v>
      </c>
      <c r="F23" s="14" t="n">
        <v>9600</v>
      </c>
      <c r="G23" s="14" t="n">
        <v>2500</v>
      </c>
      <c r="H23" s="14" t="n">
        <v>7600</v>
      </c>
    </row>
    <row r="24" customFormat="false" ht="15" hidden="false" customHeight="false" outlineLevel="0" collapsed="false">
      <c r="A24" s="12" t="s">
        <v>4</v>
      </c>
      <c r="B24" s="12" t="n">
        <v>2025</v>
      </c>
      <c r="C24" s="13" t="s">
        <v>9</v>
      </c>
      <c r="D24" s="12" t="s">
        <v>17</v>
      </c>
      <c r="E24" s="13" t="s">
        <v>64</v>
      </c>
      <c r="F24" s="14" t="n">
        <v>10100</v>
      </c>
      <c r="G24" s="14" t="n">
        <v>2200</v>
      </c>
      <c r="H24" s="14" t="n">
        <v>8200</v>
      </c>
    </row>
    <row r="25" customFormat="false" ht="15" hidden="false" customHeight="false" outlineLevel="0" collapsed="false">
      <c r="A25" s="12" t="s">
        <v>4</v>
      </c>
      <c r="B25" s="12" t="n">
        <v>2025</v>
      </c>
      <c r="C25" s="13" t="s">
        <v>9</v>
      </c>
      <c r="D25" s="12" t="s">
        <v>17</v>
      </c>
      <c r="E25" s="13" t="s">
        <v>65</v>
      </c>
      <c r="F25" s="14" t="n">
        <v>9200</v>
      </c>
      <c r="G25" s="14" t="n">
        <v>2500</v>
      </c>
      <c r="H25" s="14" t="n">
        <v>9100</v>
      </c>
    </row>
    <row r="26" customFormat="false" ht="15" hidden="false" customHeight="false" outlineLevel="0" collapsed="false">
      <c r="A26" s="12" t="s">
        <v>4</v>
      </c>
      <c r="B26" s="12" t="n">
        <v>2025</v>
      </c>
      <c r="C26" s="13" t="s">
        <v>9</v>
      </c>
      <c r="D26" s="12" t="s">
        <v>17</v>
      </c>
      <c r="E26" s="13" t="s">
        <v>66</v>
      </c>
      <c r="F26" s="14" t="n">
        <v>9300</v>
      </c>
      <c r="G26" s="14" t="n">
        <v>2300</v>
      </c>
      <c r="H26" s="14" t="n">
        <v>6900</v>
      </c>
    </row>
    <row r="27" customFormat="false" ht="15" hidden="false" customHeight="false" outlineLevel="0" collapsed="false">
      <c r="A27" s="12" t="s">
        <v>4</v>
      </c>
      <c r="B27" s="12" t="n">
        <v>2025</v>
      </c>
      <c r="C27" s="13" t="s">
        <v>9</v>
      </c>
      <c r="D27" s="12" t="s">
        <v>17</v>
      </c>
      <c r="E27" s="13" t="s">
        <v>67</v>
      </c>
      <c r="F27" s="14" t="n">
        <v>10100</v>
      </c>
      <c r="G27" s="14" t="n">
        <v>2300</v>
      </c>
      <c r="H27" s="14" t="n">
        <v>9200</v>
      </c>
    </row>
    <row r="28" customFormat="false" ht="15" hidden="false" customHeight="false" outlineLevel="0" collapsed="false">
      <c r="A28" s="12" t="s">
        <v>4</v>
      </c>
      <c r="B28" s="12" t="n">
        <v>2025</v>
      </c>
      <c r="C28" s="13" t="s">
        <v>9</v>
      </c>
      <c r="D28" s="12" t="s">
        <v>17</v>
      </c>
      <c r="E28" s="13" t="s">
        <v>68</v>
      </c>
      <c r="F28" s="14" t="n">
        <v>10600</v>
      </c>
      <c r="G28" s="14" t="n">
        <v>1900</v>
      </c>
      <c r="H28" s="14" t="n">
        <v>7700</v>
      </c>
    </row>
    <row r="29" customFormat="false" ht="15" hidden="false" customHeight="false" outlineLevel="0" collapsed="false">
      <c r="A29" s="12" t="s">
        <v>4</v>
      </c>
      <c r="B29" s="12" t="n">
        <v>2025</v>
      </c>
      <c r="C29" s="13" t="s">
        <v>9</v>
      </c>
      <c r="D29" s="12" t="s">
        <v>17</v>
      </c>
      <c r="E29" s="13" t="s">
        <v>69</v>
      </c>
      <c r="F29" s="14" t="n">
        <v>10000</v>
      </c>
      <c r="G29" s="14" t="n">
        <v>1600</v>
      </c>
      <c r="H29" s="14" t="n">
        <v>7900</v>
      </c>
    </row>
    <row r="30" customFormat="false" ht="15" hidden="false" customHeight="false" outlineLevel="0" collapsed="false">
      <c r="A30" s="12" t="s">
        <v>4</v>
      </c>
      <c r="B30" s="12" t="n">
        <v>2025</v>
      </c>
      <c r="C30" s="13" t="s">
        <v>9</v>
      </c>
      <c r="D30" s="12" t="s">
        <v>17</v>
      </c>
      <c r="E30" s="13" t="s">
        <v>70</v>
      </c>
      <c r="F30" s="14" t="n">
        <v>8100</v>
      </c>
      <c r="G30" s="14" t="n">
        <v>1700</v>
      </c>
      <c r="H30" s="14" t="n">
        <v>6900</v>
      </c>
    </row>
    <row r="31" customFormat="false" ht="15" hidden="false" customHeight="false" outlineLevel="0" collapsed="false">
      <c r="A31" s="12" t="s">
        <v>4</v>
      </c>
      <c r="B31" s="12" t="n">
        <v>2025</v>
      </c>
      <c r="C31" s="13" t="s">
        <v>9</v>
      </c>
      <c r="D31" s="12" t="s">
        <v>17</v>
      </c>
      <c r="E31" s="13" t="s">
        <v>71</v>
      </c>
      <c r="F31" s="14" t="n">
        <v>10400</v>
      </c>
      <c r="G31" s="14" t="n">
        <v>1700</v>
      </c>
      <c r="H31" s="14" t="n">
        <v>7400</v>
      </c>
    </row>
    <row r="32" customFormat="false" ht="15" hidden="false" customHeight="false" outlineLevel="0" collapsed="false">
      <c r="A32" s="12" t="s">
        <v>4</v>
      </c>
      <c r="B32" s="12" t="n">
        <v>2025</v>
      </c>
      <c r="C32" s="13" t="s">
        <v>9</v>
      </c>
      <c r="D32" s="12" t="s">
        <v>17</v>
      </c>
      <c r="E32" s="13" t="s">
        <v>72</v>
      </c>
      <c r="F32" s="14" t="n">
        <v>8900</v>
      </c>
      <c r="G32" s="14" t="n">
        <v>2500</v>
      </c>
      <c r="H32" s="14" t="n">
        <v>7000</v>
      </c>
    </row>
    <row r="33" customFormat="false" ht="15" hidden="false" customHeight="false" outlineLevel="0" collapsed="false">
      <c r="A33" s="12" t="s">
        <v>4</v>
      </c>
      <c r="B33" s="12" t="n">
        <v>2025</v>
      </c>
      <c r="C33" s="13" t="s">
        <v>9</v>
      </c>
      <c r="D33" s="12" t="s">
        <v>17</v>
      </c>
      <c r="E33" s="13" t="s">
        <v>73</v>
      </c>
      <c r="F33" s="14" t="n">
        <v>9200</v>
      </c>
      <c r="G33" s="14" t="n">
        <v>2200</v>
      </c>
      <c r="H33" s="14" t="n">
        <v>8900</v>
      </c>
    </row>
    <row r="34" customFormat="false" ht="15" hidden="false" customHeight="false" outlineLevel="0" collapsed="false">
      <c r="A34" s="12" t="s">
        <v>4</v>
      </c>
      <c r="B34" s="12" t="n">
        <v>2025</v>
      </c>
      <c r="C34" s="13" t="s">
        <v>9</v>
      </c>
      <c r="D34" s="12" t="s">
        <v>17</v>
      </c>
      <c r="E34" s="13" t="s">
        <v>74</v>
      </c>
      <c r="F34" s="14" t="n">
        <v>10500</v>
      </c>
      <c r="G34" s="14" t="n">
        <v>2500</v>
      </c>
      <c r="H34" s="14" t="n">
        <v>7500</v>
      </c>
    </row>
    <row r="35" customFormat="false" ht="15" hidden="false" customHeight="false" outlineLevel="0" collapsed="false">
      <c r="A35" s="12" t="s">
        <v>4</v>
      </c>
      <c r="B35" s="12" t="n">
        <v>2025</v>
      </c>
      <c r="C35" s="13" t="s">
        <v>9</v>
      </c>
      <c r="D35" s="12" t="s">
        <v>19</v>
      </c>
      <c r="E35" s="13" t="s">
        <v>75</v>
      </c>
      <c r="F35" s="14" t="n">
        <v>14200</v>
      </c>
      <c r="G35" s="14" t="n">
        <v>3200</v>
      </c>
      <c r="H35" s="14" t="n">
        <v>9200</v>
      </c>
    </row>
    <row r="36" customFormat="false" ht="15" hidden="false" customHeight="false" outlineLevel="0" collapsed="false">
      <c r="A36" s="12" t="s">
        <v>4</v>
      </c>
      <c r="B36" s="12" t="n">
        <v>2025</v>
      </c>
      <c r="C36" s="13" t="s">
        <v>9</v>
      </c>
      <c r="D36" s="12" t="s">
        <v>19</v>
      </c>
      <c r="E36" s="13" t="s">
        <v>76</v>
      </c>
      <c r="F36" s="14" t="n">
        <v>10600</v>
      </c>
      <c r="G36" s="14" t="n">
        <v>2400</v>
      </c>
      <c r="H36" s="14" t="n">
        <v>8500</v>
      </c>
    </row>
    <row r="37" customFormat="false" ht="15" hidden="false" customHeight="false" outlineLevel="0" collapsed="false">
      <c r="A37" s="12" t="s">
        <v>4</v>
      </c>
      <c r="B37" s="12" t="n">
        <v>2025</v>
      </c>
      <c r="C37" s="13" t="s">
        <v>9</v>
      </c>
      <c r="D37" s="12" t="s">
        <v>19</v>
      </c>
      <c r="E37" s="13" t="s">
        <v>77</v>
      </c>
      <c r="F37" s="14" t="n">
        <v>12700</v>
      </c>
      <c r="G37" s="14" t="n">
        <v>2200</v>
      </c>
      <c r="H37" s="14" t="n">
        <v>10400</v>
      </c>
    </row>
    <row r="38" customFormat="false" ht="15" hidden="false" customHeight="false" outlineLevel="0" collapsed="false">
      <c r="A38" s="12" t="s">
        <v>4</v>
      </c>
      <c r="B38" s="12" t="n">
        <v>2025</v>
      </c>
      <c r="C38" s="13" t="s">
        <v>9</v>
      </c>
      <c r="D38" s="12" t="s">
        <v>19</v>
      </c>
      <c r="E38" s="13" t="s">
        <v>78</v>
      </c>
      <c r="F38" s="14" t="n">
        <v>10400</v>
      </c>
      <c r="G38" s="14" t="n">
        <v>2700</v>
      </c>
      <c r="H38" s="14" t="n">
        <v>8500</v>
      </c>
    </row>
    <row r="39" customFormat="false" ht="15" hidden="false" customHeight="false" outlineLevel="0" collapsed="false">
      <c r="A39" s="12" t="s">
        <v>4</v>
      </c>
      <c r="B39" s="12" t="n">
        <v>2025</v>
      </c>
      <c r="C39" s="13" t="s">
        <v>9</v>
      </c>
      <c r="D39" s="12" t="s">
        <v>19</v>
      </c>
      <c r="E39" s="13" t="s">
        <v>79</v>
      </c>
      <c r="F39" s="14" t="n">
        <v>12100</v>
      </c>
      <c r="G39" s="14" t="n">
        <v>3100</v>
      </c>
      <c r="H39" s="14" t="n">
        <v>9000</v>
      </c>
    </row>
    <row r="40" customFormat="false" ht="15" hidden="false" customHeight="false" outlineLevel="0" collapsed="false">
      <c r="A40" s="12" t="s">
        <v>4</v>
      </c>
      <c r="B40" s="12" t="n">
        <v>2025</v>
      </c>
      <c r="C40" s="13" t="s">
        <v>9</v>
      </c>
      <c r="D40" s="12" t="s">
        <v>19</v>
      </c>
      <c r="E40" s="13" t="s">
        <v>80</v>
      </c>
      <c r="F40" s="14" t="n">
        <v>10100</v>
      </c>
      <c r="G40" s="14" t="n">
        <v>3500</v>
      </c>
      <c r="H40" s="14" t="n">
        <v>10800</v>
      </c>
    </row>
    <row r="41" customFormat="false" ht="15" hidden="false" customHeight="false" outlineLevel="0" collapsed="false">
      <c r="A41" s="12" t="s">
        <v>4</v>
      </c>
      <c r="B41" s="12" t="n">
        <v>2025</v>
      </c>
      <c r="C41" s="13" t="s">
        <v>9</v>
      </c>
      <c r="D41" s="12" t="s">
        <v>19</v>
      </c>
      <c r="E41" s="13" t="s">
        <v>81</v>
      </c>
      <c r="F41" s="14" t="n">
        <v>12600</v>
      </c>
      <c r="G41" s="14" t="n">
        <v>3300</v>
      </c>
      <c r="H41" s="14" t="n">
        <v>9400</v>
      </c>
    </row>
    <row r="42" customFormat="false" ht="15" hidden="false" customHeight="false" outlineLevel="0" collapsed="false">
      <c r="A42" s="12" t="s">
        <v>4</v>
      </c>
      <c r="B42" s="12" t="n">
        <v>2025</v>
      </c>
      <c r="C42" s="13" t="s">
        <v>9</v>
      </c>
      <c r="D42" s="12" t="s">
        <v>19</v>
      </c>
      <c r="E42" s="13" t="s">
        <v>82</v>
      </c>
      <c r="F42" s="14" t="n">
        <v>13700</v>
      </c>
      <c r="G42" s="14" t="n">
        <v>3600</v>
      </c>
      <c r="H42" s="14" t="n">
        <v>10000</v>
      </c>
    </row>
    <row r="43" customFormat="false" ht="15" hidden="false" customHeight="false" outlineLevel="0" collapsed="false">
      <c r="A43" s="12" t="s">
        <v>4</v>
      </c>
      <c r="B43" s="12" t="n">
        <v>2025</v>
      </c>
      <c r="C43" s="13" t="s">
        <v>9</v>
      </c>
      <c r="D43" s="12" t="s">
        <v>19</v>
      </c>
      <c r="E43" s="13" t="s">
        <v>83</v>
      </c>
      <c r="F43" s="14" t="n">
        <v>12200</v>
      </c>
      <c r="G43" s="14" t="n">
        <v>2800</v>
      </c>
      <c r="H43" s="14" t="n">
        <v>9200</v>
      </c>
    </row>
    <row r="44" customFormat="false" ht="15" hidden="false" customHeight="false" outlineLevel="0" collapsed="false">
      <c r="A44" s="12" t="s">
        <v>4</v>
      </c>
      <c r="B44" s="12" t="n">
        <v>2025</v>
      </c>
      <c r="C44" s="13" t="s">
        <v>9</v>
      </c>
      <c r="D44" s="12" t="s">
        <v>19</v>
      </c>
      <c r="E44" s="13" t="s">
        <v>84</v>
      </c>
      <c r="F44" s="14" t="n">
        <v>11800</v>
      </c>
      <c r="G44" s="14" t="n">
        <v>2800</v>
      </c>
      <c r="H44" s="14" t="n">
        <v>8600</v>
      </c>
    </row>
    <row r="45" customFormat="false" ht="15" hidden="false" customHeight="false" outlineLevel="0" collapsed="false">
      <c r="A45" s="12" t="s">
        <v>4</v>
      </c>
      <c r="B45" s="12" t="n">
        <v>2025</v>
      </c>
      <c r="C45" s="13" t="s">
        <v>9</v>
      </c>
      <c r="D45" s="12" t="s">
        <v>19</v>
      </c>
      <c r="E45" s="13" t="s">
        <v>85</v>
      </c>
      <c r="F45" s="14" t="n">
        <v>14200</v>
      </c>
      <c r="G45" s="14" t="n">
        <v>2900</v>
      </c>
      <c r="H45" s="14" t="n">
        <v>8400</v>
      </c>
    </row>
    <row r="46" customFormat="false" ht="15" hidden="false" customHeight="false" outlineLevel="0" collapsed="false">
      <c r="A46" s="12" t="s">
        <v>4</v>
      </c>
      <c r="B46" s="12" t="n">
        <v>2025</v>
      </c>
      <c r="C46" s="13" t="s">
        <v>9</v>
      </c>
      <c r="D46" s="12" t="s">
        <v>21</v>
      </c>
      <c r="E46" s="13" t="s">
        <v>86</v>
      </c>
      <c r="F46" s="14" t="n">
        <v>8400</v>
      </c>
      <c r="G46" s="14" t="n">
        <v>1900</v>
      </c>
      <c r="H46" s="14" t="n">
        <v>7600</v>
      </c>
    </row>
    <row r="47" customFormat="false" ht="15" hidden="false" customHeight="false" outlineLevel="0" collapsed="false">
      <c r="A47" s="12" t="s">
        <v>4</v>
      </c>
      <c r="B47" s="12" t="n">
        <v>2025</v>
      </c>
      <c r="C47" s="13" t="s">
        <v>9</v>
      </c>
      <c r="D47" s="12" t="s">
        <v>21</v>
      </c>
      <c r="E47" s="13" t="s">
        <v>87</v>
      </c>
      <c r="F47" s="14" t="n">
        <v>8600</v>
      </c>
      <c r="G47" s="14" t="n">
        <v>2400</v>
      </c>
      <c r="H47" s="14" t="n">
        <v>7300</v>
      </c>
    </row>
    <row r="48" customFormat="false" ht="15" hidden="false" customHeight="false" outlineLevel="0" collapsed="false">
      <c r="A48" s="12" t="s">
        <v>4</v>
      </c>
      <c r="B48" s="12" t="n">
        <v>2025</v>
      </c>
      <c r="C48" s="13" t="s">
        <v>9</v>
      </c>
      <c r="D48" s="12" t="s">
        <v>21</v>
      </c>
      <c r="E48" s="13" t="s">
        <v>88</v>
      </c>
      <c r="F48" s="14" t="n">
        <v>11700</v>
      </c>
      <c r="G48" s="14" t="n">
        <v>2700</v>
      </c>
      <c r="H48" s="14" t="n">
        <v>7600</v>
      </c>
    </row>
    <row r="49" customFormat="false" ht="15" hidden="false" customHeight="false" outlineLevel="0" collapsed="false">
      <c r="A49" s="12" t="s">
        <v>4</v>
      </c>
      <c r="B49" s="12" t="n">
        <v>2025</v>
      </c>
      <c r="C49" s="13" t="s">
        <v>9</v>
      </c>
      <c r="D49" s="12" t="s">
        <v>21</v>
      </c>
      <c r="E49" s="13" t="s">
        <v>89</v>
      </c>
      <c r="F49" s="14" t="n">
        <v>9200</v>
      </c>
      <c r="G49" s="14" t="n">
        <v>2400</v>
      </c>
      <c r="H49" s="14" t="n">
        <v>8200</v>
      </c>
    </row>
    <row r="50" customFormat="false" ht="15" hidden="false" customHeight="false" outlineLevel="0" collapsed="false">
      <c r="A50" s="12" t="s">
        <v>4</v>
      </c>
      <c r="B50" s="12" t="n">
        <v>2025</v>
      </c>
      <c r="C50" s="13" t="s">
        <v>9</v>
      </c>
      <c r="D50" s="12" t="s">
        <v>21</v>
      </c>
      <c r="E50" s="13" t="s">
        <v>90</v>
      </c>
      <c r="F50" s="14" t="n">
        <v>8700</v>
      </c>
      <c r="G50" s="14" t="n">
        <v>3000</v>
      </c>
      <c r="H50" s="14" t="n">
        <v>9800</v>
      </c>
    </row>
    <row r="51" customFormat="false" ht="15" hidden="false" customHeight="false" outlineLevel="0" collapsed="false">
      <c r="A51" s="12" t="s">
        <v>4</v>
      </c>
      <c r="B51" s="12" t="n">
        <v>2025</v>
      </c>
      <c r="C51" s="13" t="s">
        <v>9</v>
      </c>
      <c r="D51" s="12" t="s">
        <v>21</v>
      </c>
      <c r="E51" s="13" t="s">
        <v>91</v>
      </c>
      <c r="F51" s="14" t="n">
        <v>10100</v>
      </c>
      <c r="G51" s="14" t="n">
        <v>2500</v>
      </c>
      <c r="H51" s="14" t="n">
        <v>7400</v>
      </c>
    </row>
    <row r="52" customFormat="false" ht="15" hidden="false" customHeight="false" outlineLevel="0" collapsed="false">
      <c r="A52" s="12" t="s">
        <v>4</v>
      </c>
      <c r="B52" s="12" t="n">
        <v>2025</v>
      </c>
      <c r="C52" s="13" t="s">
        <v>9</v>
      </c>
      <c r="D52" s="12" t="s">
        <v>21</v>
      </c>
      <c r="E52" s="13" t="s">
        <v>92</v>
      </c>
      <c r="F52" s="14" t="n">
        <v>8600</v>
      </c>
      <c r="G52" s="14" t="n">
        <v>2300</v>
      </c>
      <c r="H52" s="14" t="n">
        <v>7900</v>
      </c>
    </row>
    <row r="53" customFormat="false" ht="15" hidden="false" customHeight="false" outlineLevel="0" collapsed="false">
      <c r="A53" s="12" t="s">
        <v>4</v>
      </c>
      <c r="B53" s="12" t="n">
        <v>2025</v>
      </c>
      <c r="C53" s="13" t="s">
        <v>9</v>
      </c>
      <c r="D53" s="12" t="s">
        <v>21</v>
      </c>
      <c r="E53" s="13" t="s">
        <v>93</v>
      </c>
      <c r="F53" s="14" t="n">
        <v>11500</v>
      </c>
      <c r="G53" s="14" t="n">
        <v>2100</v>
      </c>
      <c r="H53" s="14" t="n">
        <v>7300</v>
      </c>
    </row>
    <row r="54" customFormat="false" ht="15" hidden="false" customHeight="false" outlineLevel="0" collapsed="false">
      <c r="A54" s="12" t="s">
        <v>4</v>
      </c>
      <c r="B54" s="12" t="n">
        <v>2025</v>
      </c>
      <c r="C54" s="13" t="s">
        <v>9</v>
      </c>
      <c r="D54" s="12" t="s">
        <v>21</v>
      </c>
      <c r="E54" s="13" t="s">
        <v>94</v>
      </c>
      <c r="F54" s="14" t="n">
        <v>12000</v>
      </c>
      <c r="G54" s="14" t="n">
        <v>2600</v>
      </c>
      <c r="H54" s="14" t="n">
        <v>7600</v>
      </c>
    </row>
    <row r="55" customFormat="false" ht="15" hidden="false" customHeight="false" outlineLevel="0" collapsed="false">
      <c r="A55" s="12" t="s">
        <v>4</v>
      </c>
      <c r="B55" s="12" t="n">
        <v>2025</v>
      </c>
      <c r="C55" s="13" t="s">
        <v>9</v>
      </c>
      <c r="D55" s="12" t="s">
        <v>21</v>
      </c>
      <c r="E55" s="13" t="s">
        <v>95</v>
      </c>
      <c r="F55" s="14" t="n">
        <v>10400</v>
      </c>
      <c r="G55" s="14" t="n">
        <v>1900</v>
      </c>
      <c r="H55" s="14" t="n">
        <v>8600</v>
      </c>
    </row>
    <row r="56" customFormat="false" ht="15" hidden="false" customHeight="false" outlineLevel="0" collapsed="false">
      <c r="A56" s="12" t="s">
        <v>4</v>
      </c>
      <c r="B56" s="12" t="n">
        <v>2025</v>
      </c>
      <c r="C56" s="13" t="s">
        <v>9</v>
      </c>
      <c r="D56" s="12" t="s">
        <v>21</v>
      </c>
      <c r="E56" s="13" t="s">
        <v>96</v>
      </c>
      <c r="F56" s="14" t="n">
        <v>12200</v>
      </c>
      <c r="G56" s="14" t="n">
        <v>3000</v>
      </c>
      <c r="H56" s="14" t="n">
        <v>9000</v>
      </c>
    </row>
    <row r="57" customFormat="false" ht="15" hidden="false" customHeight="false" outlineLevel="0" collapsed="false">
      <c r="A57" s="12" t="s">
        <v>4</v>
      </c>
      <c r="B57" s="12" t="n">
        <v>2025</v>
      </c>
      <c r="C57" s="13" t="s">
        <v>9</v>
      </c>
      <c r="D57" s="12" t="s">
        <v>21</v>
      </c>
      <c r="E57" s="13" t="s">
        <v>97</v>
      </c>
      <c r="F57" s="14" t="n">
        <v>9200</v>
      </c>
      <c r="G57" s="14" t="n">
        <v>2400</v>
      </c>
      <c r="H57" s="14" t="n">
        <v>7700</v>
      </c>
    </row>
    <row r="58" customFormat="false" ht="15" hidden="false" customHeight="false" outlineLevel="0" collapsed="false">
      <c r="A58" s="12" t="s">
        <v>4</v>
      </c>
      <c r="B58" s="12" t="n">
        <v>2025</v>
      </c>
      <c r="C58" s="13" t="s">
        <v>9</v>
      </c>
      <c r="D58" s="12" t="s">
        <v>23</v>
      </c>
      <c r="E58" s="13" t="s">
        <v>98</v>
      </c>
      <c r="F58" s="14" t="n">
        <v>15500</v>
      </c>
      <c r="G58" s="14" t="n">
        <v>3900</v>
      </c>
      <c r="H58" s="14" t="n">
        <v>12300</v>
      </c>
    </row>
    <row r="59" customFormat="false" ht="15" hidden="false" customHeight="false" outlineLevel="0" collapsed="false">
      <c r="A59" s="12" t="s">
        <v>4</v>
      </c>
      <c r="B59" s="12" t="n">
        <v>2025</v>
      </c>
      <c r="C59" s="13" t="s">
        <v>9</v>
      </c>
      <c r="D59" s="12" t="s">
        <v>23</v>
      </c>
      <c r="E59" s="13" t="s">
        <v>99</v>
      </c>
      <c r="F59" s="14" t="n">
        <v>13600</v>
      </c>
      <c r="G59" s="14" t="n">
        <v>3900</v>
      </c>
      <c r="H59" s="14" t="n">
        <v>14900</v>
      </c>
    </row>
    <row r="60" customFormat="false" ht="15" hidden="false" customHeight="false" outlineLevel="0" collapsed="false">
      <c r="A60" s="12" t="s">
        <v>4</v>
      </c>
      <c r="B60" s="12" t="n">
        <v>2025</v>
      </c>
      <c r="C60" s="13" t="s">
        <v>9</v>
      </c>
      <c r="D60" s="12" t="s">
        <v>23</v>
      </c>
      <c r="E60" s="13" t="s">
        <v>100</v>
      </c>
      <c r="F60" s="14" t="n">
        <v>17500</v>
      </c>
      <c r="G60" s="14" t="n">
        <v>3900</v>
      </c>
      <c r="H60" s="14" t="n">
        <v>14200</v>
      </c>
    </row>
    <row r="61" customFormat="false" ht="15" hidden="false" customHeight="false" outlineLevel="0" collapsed="false">
      <c r="A61" s="12" t="s">
        <v>4</v>
      </c>
      <c r="B61" s="12" t="n">
        <v>2025</v>
      </c>
      <c r="C61" s="13" t="s">
        <v>9</v>
      </c>
      <c r="D61" s="12" t="s">
        <v>23</v>
      </c>
      <c r="E61" s="13" t="s">
        <v>101</v>
      </c>
      <c r="F61" s="14" t="n">
        <v>16800</v>
      </c>
      <c r="G61" s="14" t="n">
        <v>2900</v>
      </c>
      <c r="H61" s="14" t="n">
        <v>13100</v>
      </c>
    </row>
    <row r="62" customFormat="false" ht="15" hidden="false" customHeight="false" outlineLevel="0" collapsed="false">
      <c r="A62" s="12" t="s">
        <v>4</v>
      </c>
      <c r="B62" s="12" t="n">
        <v>2025</v>
      </c>
      <c r="C62" s="13" t="s">
        <v>9</v>
      </c>
      <c r="D62" s="12" t="s">
        <v>23</v>
      </c>
      <c r="E62" s="13" t="s">
        <v>102</v>
      </c>
      <c r="F62" s="14" t="n">
        <v>14400</v>
      </c>
      <c r="G62" s="14" t="n">
        <v>2600</v>
      </c>
      <c r="H62" s="14" t="n">
        <v>11200</v>
      </c>
    </row>
    <row r="63" customFormat="false" ht="15" hidden="false" customHeight="false" outlineLevel="0" collapsed="false">
      <c r="A63" s="12" t="s">
        <v>4</v>
      </c>
      <c r="B63" s="12" t="n">
        <v>2025</v>
      </c>
      <c r="C63" s="13" t="s">
        <v>9</v>
      </c>
      <c r="D63" s="12" t="s">
        <v>23</v>
      </c>
      <c r="E63" s="13" t="s">
        <v>103</v>
      </c>
      <c r="F63" s="14" t="n">
        <v>14000</v>
      </c>
      <c r="G63" s="14" t="n">
        <v>3000</v>
      </c>
      <c r="H63" s="14" t="n">
        <v>13800</v>
      </c>
    </row>
    <row r="64" customFormat="false" ht="15" hidden="false" customHeight="false" outlineLevel="0" collapsed="false">
      <c r="A64" s="12" t="s">
        <v>4</v>
      </c>
      <c r="B64" s="12" t="n">
        <v>2025</v>
      </c>
      <c r="C64" s="13" t="s">
        <v>9</v>
      </c>
      <c r="D64" s="12" t="s">
        <v>23</v>
      </c>
      <c r="E64" s="13" t="s">
        <v>104</v>
      </c>
      <c r="F64" s="14" t="n">
        <v>18100</v>
      </c>
      <c r="G64" s="14" t="n">
        <v>3300</v>
      </c>
      <c r="H64" s="14" t="n">
        <v>14700</v>
      </c>
    </row>
    <row r="65" customFormat="false" ht="15" hidden="false" customHeight="false" outlineLevel="0" collapsed="false">
      <c r="A65" s="12" t="s">
        <v>4</v>
      </c>
      <c r="B65" s="12" t="n">
        <v>2025</v>
      </c>
      <c r="C65" s="13" t="s">
        <v>9</v>
      </c>
      <c r="D65" s="12" t="s">
        <v>23</v>
      </c>
      <c r="E65" s="13" t="s">
        <v>105</v>
      </c>
      <c r="F65" s="14" t="n">
        <v>18300</v>
      </c>
      <c r="G65" s="14" t="n">
        <v>4200</v>
      </c>
      <c r="H65" s="14" t="n">
        <v>12500</v>
      </c>
    </row>
    <row r="66" customFormat="false" ht="15" hidden="false" customHeight="false" outlineLevel="0" collapsed="false">
      <c r="A66" s="12" t="s">
        <v>4</v>
      </c>
      <c r="B66" s="12" t="n">
        <v>2025</v>
      </c>
      <c r="C66" s="13" t="s">
        <v>9</v>
      </c>
      <c r="D66" s="12" t="s">
        <v>23</v>
      </c>
      <c r="E66" s="13" t="s">
        <v>106</v>
      </c>
      <c r="F66" s="14" t="n">
        <v>13600</v>
      </c>
      <c r="G66" s="14" t="n">
        <v>2900</v>
      </c>
      <c r="H66" s="14" t="n">
        <v>11800</v>
      </c>
    </row>
    <row r="67" customFormat="false" ht="15" hidden="false" customHeight="false" outlineLevel="0" collapsed="false">
      <c r="A67" s="12" t="s">
        <v>4</v>
      </c>
      <c r="B67" s="12" t="n">
        <v>2025</v>
      </c>
      <c r="C67" s="13" t="s">
        <v>11</v>
      </c>
      <c r="D67" s="12" t="s">
        <v>13</v>
      </c>
      <c r="E67" s="13" t="s">
        <v>107</v>
      </c>
      <c r="F67" s="14" t="n">
        <v>59400</v>
      </c>
      <c r="G67" s="14" t="n">
        <v>12900</v>
      </c>
      <c r="H67" s="14" t="n">
        <v>28900</v>
      </c>
    </row>
    <row r="68" customFormat="false" ht="15" hidden="false" customHeight="false" outlineLevel="0" collapsed="false">
      <c r="A68" s="12" t="s">
        <v>4</v>
      </c>
      <c r="B68" s="12" t="n">
        <v>2025</v>
      </c>
      <c r="C68" s="13" t="s">
        <v>11</v>
      </c>
      <c r="D68" s="12" t="s">
        <v>13</v>
      </c>
      <c r="E68" s="13" t="s">
        <v>108</v>
      </c>
      <c r="F68" s="14" t="n">
        <v>47900</v>
      </c>
      <c r="G68" s="14" t="n">
        <v>12500</v>
      </c>
      <c r="H68" s="14" t="n">
        <v>26700</v>
      </c>
    </row>
    <row r="69" customFormat="false" ht="15" hidden="false" customHeight="false" outlineLevel="0" collapsed="false">
      <c r="A69" s="12" t="s">
        <v>4</v>
      </c>
      <c r="B69" s="12" t="n">
        <v>2025</v>
      </c>
      <c r="C69" s="13" t="s">
        <v>11</v>
      </c>
      <c r="D69" s="12" t="s">
        <v>13</v>
      </c>
      <c r="E69" s="13" t="s">
        <v>109</v>
      </c>
      <c r="F69" s="14" t="n">
        <v>63200</v>
      </c>
      <c r="G69" s="14" t="n">
        <v>12100</v>
      </c>
      <c r="H69" s="14" t="n">
        <v>24800</v>
      </c>
    </row>
    <row r="70" customFormat="false" ht="15" hidden="false" customHeight="false" outlineLevel="0" collapsed="false">
      <c r="A70" s="12" t="s">
        <v>4</v>
      </c>
      <c r="B70" s="12" t="n">
        <v>2025</v>
      </c>
      <c r="C70" s="13" t="s">
        <v>11</v>
      </c>
      <c r="D70" s="12" t="s">
        <v>13</v>
      </c>
      <c r="E70" s="13" t="s">
        <v>110</v>
      </c>
      <c r="F70" s="14" t="n">
        <v>57100</v>
      </c>
      <c r="G70" s="14" t="n">
        <v>11400</v>
      </c>
      <c r="H70" s="14" t="n">
        <v>25500</v>
      </c>
    </row>
    <row r="71" customFormat="false" ht="15" hidden="false" customHeight="false" outlineLevel="0" collapsed="false">
      <c r="A71" s="12" t="s">
        <v>4</v>
      </c>
      <c r="B71" s="12" t="n">
        <v>2025</v>
      </c>
      <c r="C71" s="13" t="s">
        <v>11</v>
      </c>
      <c r="D71" s="12" t="s">
        <v>13</v>
      </c>
      <c r="E71" s="13" t="s">
        <v>111</v>
      </c>
      <c r="F71" s="14" t="n">
        <v>69100</v>
      </c>
      <c r="G71" s="14" t="n">
        <v>10000</v>
      </c>
      <c r="H71" s="14" t="n">
        <v>29100</v>
      </c>
    </row>
    <row r="72" customFormat="false" ht="15" hidden="false" customHeight="false" outlineLevel="0" collapsed="false">
      <c r="A72" s="12" t="s">
        <v>4</v>
      </c>
      <c r="B72" s="12" t="n">
        <v>2025</v>
      </c>
      <c r="C72" s="13" t="s">
        <v>11</v>
      </c>
      <c r="D72" s="12" t="s">
        <v>13</v>
      </c>
      <c r="E72" s="13" t="s">
        <v>112</v>
      </c>
      <c r="F72" s="14" t="n">
        <v>49900</v>
      </c>
      <c r="G72" s="14" t="n">
        <v>12700</v>
      </c>
      <c r="H72" s="14" t="n">
        <v>29900</v>
      </c>
    </row>
    <row r="73" customFormat="false" ht="15" hidden="false" customHeight="false" outlineLevel="0" collapsed="false">
      <c r="A73" s="12" t="s">
        <v>4</v>
      </c>
      <c r="B73" s="12" t="n">
        <v>2025</v>
      </c>
      <c r="C73" s="13" t="s">
        <v>11</v>
      </c>
      <c r="D73" s="12" t="s">
        <v>13</v>
      </c>
      <c r="E73" s="13" t="s">
        <v>113</v>
      </c>
      <c r="F73" s="14" t="n">
        <v>58900</v>
      </c>
      <c r="G73" s="14" t="n">
        <v>11600</v>
      </c>
      <c r="H73" s="14" t="n">
        <v>24500</v>
      </c>
    </row>
    <row r="74" customFormat="false" ht="15" hidden="false" customHeight="false" outlineLevel="0" collapsed="false">
      <c r="A74" s="12" t="s">
        <v>4</v>
      </c>
      <c r="B74" s="12" t="n">
        <v>2025</v>
      </c>
      <c r="C74" s="13" t="s">
        <v>11</v>
      </c>
      <c r="D74" s="12" t="s">
        <v>13</v>
      </c>
      <c r="E74" s="13" t="s">
        <v>114</v>
      </c>
      <c r="F74" s="14" t="n">
        <v>51600</v>
      </c>
      <c r="G74" s="14" t="n">
        <v>12900</v>
      </c>
      <c r="H74" s="14" t="n">
        <v>24000</v>
      </c>
    </row>
    <row r="75" customFormat="false" ht="15" hidden="false" customHeight="false" outlineLevel="0" collapsed="false">
      <c r="A75" s="12" t="s">
        <v>4</v>
      </c>
      <c r="B75" s="12" t="n">
        <v>2025</v>
      </c>
      <c r="C75" s="13" t="s">
        <v>11</v>
      </c>
      <c r="D75" s="12" t="s">
        <v>13</v>
      </c>
      <c r="E75" s="13" t="s">
        <v>115</v>
      </c>
      <c r="F75" s="14" t="n">
        <v>62000</v>
      </c>
      <c r="G75" s="14" t="n">
        <v>10200</v>
      </c>
      <c r="H75" s="14" t="n">
        <v>29300</v>
      </c>
    </row>
    <row r="76" customFormat="false" ht="15" hidden="false" customHeight="false" outlineLevel="0" collapsed="false">
      <c r="A76" s="12" t="s">
        <v>4</v>
      </c>
      <c r="B76" s="12" t="n">
        <v>2025</v>
      </c>
      <c r="C76" s="13" t="s">
        <v>11</v>
      </c>
      <c r="D76" s="12" t="s">
        <v>15</v>
      </c>
      <c r="E76" s="13" t="s">
        <v>116</v>
      </c>
      <c r="F76" s="14" t="n">
        <v>27300</v>
      </c>
      <c r="G76" s="14" t="n">
        <v>4300</v>
      </c>
      <c r="H76" s="14" t="n">
        <v>12600</v>
      </c>
    </row>
    <row r="77" customFormat="false" ht="15" hidden="false" customHeight="false" outlineLevel="0" collapsed="false">
      <c r="A77" s="12" t="s">
        <v>4</v>
      </c>
      <c r="B77" s="12" t="n">
        <v>2025</v>
      </c>
      <c r="C77" s="13" t="s">
        <v>11</v>
      </c>
      <c r="D77" s="12" t="s">
        <v>15</v>
      </c>
      <c r="E77" s="13" t="s">
        <v>117</v>
      </c>
      <c r="F77" s="14" t="n">
        <v>22700</v>
      </c>
      <c r="G77" s="14" t="n">
        <v>3500</v>
      </c>
      <c r="H77" s="14" t="n">
        <v>10700</v>
      </c>
    </row>
    <row r="78" customFormat="false" ht="15" hidden="false" customHeight="false" outlineLevel="0" collapsed="false">
      <c r="A78" s="12" t="s">
        <v>4</v>
      </c>
      <c r="B78" s="12" t="n">
        <v>2025</v>
      </c>
      <c r="C78" s="13" t="s">
        <v>11</v>
      </c>
      <c r="D78" s="12" t="s">
        <v>15</v>
      </c>
      <c r="E78" s="13" t="s">
        <v>118</v>
      </c>
      <c r="F78" s="14" t="n">
        <v>19500</v>
      </c>
      <c r="G78" s="14" t="n">
        <v>4300</v>
      </c>
      <c r="H78" s="14" t="n">
        <v>12500</v>
      </c>
    </row>
    <row r="79" customFormat="false" ht="15" hidden="false" customHeight="false" outlineLevel="0" collapsed="false">
      <c r="A79" s="12" t="s">
        <v>4</v>
      </c>
      <c r="B79" s="12" t="n">
        <v>2025</v>
      </c>
      <c r="C79" s="13" t="s">
        <v>11</v>
      </c>
      <c r="D79" s="12" t="s">
        <v>15</v>
      </c>
      <c r="E79" s="13" t="s">
        <v>119</v>
      </c>
      <c r="F79" s="14" t="n">
        <v>24400</v>
      </c>
      <c r="G79" s="14" t="n">
        <v>4200</v>
      </c>
      <c r="H79" s="14" t="n">
        <v>11800</v>
      </c>
    </row>
    <row r="80" customFormat="false" ht="15" hidden="false" customHeight="false" outlineLevel="0" collapsed="false">
      <c r="A80" s="12" t="s">
        <v>4</v>
      </c>
      <c r="B80" s="12" t="n">
        <v>2025</v>
      </c>
      <c r="C80" s="13" t="s">
        <v>11</v>
      </c>
      <c r="D80" s="12" t="s">
        <v>15</v>
      </c>
      <c r="E80" s="13" t="s">
        <v>120</v>
      </c>
      <c r="F80" s="14" t="n">
        <v>27700</v>
      </c>
      <c r="G80" s="14" t="n">
        <v>4000</v>
      </c>
      <c r="H80" s="14" t="n">
        <v>11000</v>
      </c>
    </row>
    <row r="81" customFormat="false" ht="15" hidden="false" customHeight="false" outlineLevel="0" collapsed="false">
      <c r="A81" s="12" t="s">
        <v>4</v>
      </c>
      <c r="B81" s="12" t="n">
        <v>2025</v>
      </c>
      <c r="C81" s="13" t="s">
        <v>11</v>
      </c>
      <c r="D81" s="12" t="s">
        <v>15</v>
      </c>
      <c r="E81" s="13" t="s">
        <v>121</v>
      </c>
      <c r="F81" s="14" t="n">
        <v>21800</v>
      </c>
      <c r="G81" s="14" t="n">
        <v>3100</v>
      </c>
      <c r="H81" s="14" t="n">
        <v>11100</v>
      </c>
    </row>
    <row r="82" customFormat="false" ht="15" hidden="false" customHeight="false" outlineLevel="0" collapsed="false">
      <c r="A82" s="12" t="s">
        <v>4</v>
      </c>
      <c r="B82" s="12" t="n">
        <v>2025</v>
      </c>
      <c r="C82" s="13" t="s">
        <v>11</v>
      </c>
      <c r="D82" s="12" t="s">
        <v>15</v>
      </c>
      <c r="E82" s="13" t="s">
        <v>122</v>
      </c>
      <c r="F82" s="14" t="n">
        <v>25000</v>
      </c>
      <c r="G82" s="14" t="n">
        <v>3000</v>
      </c>
      <c r="H82" s="14" t="n">
        <v>11700</v>
      </c>
    </row>
    <row r="83" customFormat="false" ht="15" hidden="false" customHeight="false" outlineLevel="0" collapsed="false">
      <c r="A83" s="12" t="s">
        <v>4</v>
      </c>
      <c r="B83" s="12" t="n">
        <v>2025</v>
      </c>
      <c r="C83" s="13" t="s">
        <v>11</v>
      </c>
      <c r="D83" s="12" t="s">
        <v>15</v>
      </c>
      <c r="E83" s="13" t="s">
        <v>123</v>
      </c>
      <c r="F83" s="14" t="n">
        <v>20600</v>
      </c>
      <c r="G83" s="14" t="n">
        <v>4200</v>
      </c>
      <c r="H83" s="14" t="n">
        <v>11500</v>
      </c>
    </row>
    <row r="84" customFormat="false" ht="15" hidden="false" customHeight="false" outlineLevel="0" collapsed="false">
      <c r="A84" s="12" t="s">
        <v>4</v>
      </c>
      <c r="B84" s="12" t="n">
        <v>2025</v>
      </c>
      <c r="C84" s="13" t="s">
        <v>11</v>
      </c>
      <c r="D84" s="12" t="s">
        <v>15</v>
      </c>
      <c r="E84" s="13" t="s">
        <v>124</v>
      </c>
      <c r="F84" s="14" t="n">
        <v>23700</v>
      </c>
      <c r="G84" s="14" t="n">
        <v>3600</v>
      </c>
      <c r="H84" s="14" t="n">
        <v>13500</v>
      </c>
    </row>
    <row r="85" customFormat="false" ht="15" hidden="false" customHeight="false" outlineLevel="0" collapsed="false">
      <c r="A85" s="12" t="s">
        <v>4</v>
      </c>
      <c r="B85" s="12" t="n">
        <v>2025</v>
      </c>
      <c r="C85" s="13" t="s">
        <v>11</v>
      </c>
      <c r="D85" s="12" t="s">
        <v>15</v>
      </c>
      <c r="E85" s="13" t="s">
        <v>125</v>
      </c>
      <c r="F85" s="14" t="n">
        <v>23400</v>
      </c>
      <c r="G85" s="14" t="n">
        <v>4200</v>
      </c>
      <c r="H85" s="14" t="n">
        <v>12000</v>
      </c>
    </row>
    <row r="86" customFormat="false" ht="15" hidden="false" customHeight="false" outlineLevel="0" collapsed="false">
      <c r="A86" s="12" t="s">
        <v>4</v>
      </c>
      <c r="B86" s="12" t="n">
        <v>2025</v>
      </c>
      <c r="C86" s="13" t="s">
        <v>11</v>
      </c>
      <c r="D86" s="12" t="s">
        <v>15</v>
      </c>
      <c r="E86" s="13" t="s">
        <v>126</v>
      </c>
      <c r="F86" s="14" t="n">
        <v>24500</v>
      </c>
      <c r="G86" s="14" t="n">
        <v>3500</v>
      </c>
      <c r="H86" s="14" t="n">
        <v>10300</v>
      </c>
    </row>
    <row r="87" customFormat="false" ht="15" hidden="false" customHeight="false" outlineLevel="0" collapsed="false">
      <c r="A87" s="12" t="s">
        <v>4</v>
      </c>
      <c r="B87" s="12" t="n">
        <v>2025</v>
      </c>
      <c r="C87" s="13" t="s">
        <v>11</v>
      </c>
      <c r="D87" s="12" t="s">
        <v>15</v>
      </c>
      <c r="E87" s="13" t="s">
        <v>127</v>
      </c>
      <c r="F87" s="14" t="n">
        <v>23600</v>
      </c>
      <c r="G87" s="14" t="n">
        <v>2900</v>
      </c>
      <c r="H87" s="14" t="n">
        <v>10200</v>
      </c>
    </row>
    <row r="88" customFormat="false" ht="15" hidden="false" customHeight="false" outlineLevel="0" collapsed="false">
      <c r="A88" s="12" t="s">
        <v>4</v>
      </c>
      <c r="B88" s="12" t="n">
        <v>2025</v>
      </c>
      <c r="C88" s="13" t="s">
        <v>11</v>
      </c>
      <c r="D88" s="12" t="s">
        <v>17</v>
      </c>
      <c r="E88" s="13" t="s">
        <v>128</v>
      </c>
      <c r="F88" s="14" t="n">
        <v>11000</v>
      </c>
      <c r="G88" s="14" t="n">
        <v>2800</v>
      </c>
      <c r="H88" s="14" t="n">
        <v>8500</v>
      </c>
    </row>
    <row r="89" customFormat="false" ht="15" hidden="false" customHeight="false" outlineLevel="0" collapsed="false">
      <c r="A89" s="12" t="s">
        <v>4</v>
      </c>
      <c r="B89" s="12" t="n">
        <v>2025</v>
      </c>
      <c r="C89" s="13" t="s">
        <v>11</v>
      </c>
      <c r="D89" s="12" t="s">
        <v>17</v>
      </c>
      <c r="E89" s="13" t="s">
        <v>129</v>
      </c>
      <c r="F89" s="14" t="n">
        <v>12900</v>
      </c>
      <c r="G89" s="14" t="n">
        <v>2600</v>
      </c>
      <c r="H89" s="14" t="n">
        <v>8000</v>
      </c>
    </row>
    <row r="90" customFormat="false" ht="15" hidden="false" customHeight="false" outlineLevel="0" collapsed="false">
      <c r="A90" s="12" t="s">
        <v>4</v>
      </c>
      <c r="B90" s="12" t="n">
        <v>2025</v>
      </c>
      <c r="C90" s="13" t="s">
        <v>11</v>
      </c>
      <c r="D90" s="12" t="s">
        <v>17</v>
      </c>
      <c r="E90" s="13" t="s">
        <v>130</v>
      </c>
      <c r="F90" s="14" t="n">
        <v>12900</v>
      </c>
      <c r="G90" s="14" t="n">
        <v>3300</v>
      </c>
      <c r="H90" s="14" t="n">
        <v>7100</v>
      </c>
    </row>
    <row r="91" customFormat="false" ht="15" hidden="false" customHeight="false" outlineLevel="0" collapsed="false">
      <c r="A91" s="12" t="s">
        <v>4</v>
      </c>
      <c r="B91" s="12" t="n">
        <v>2025</v>
      </c>
      <c r="C91" s="13" t="s">
        <v>11</v>
      </c>
      <c r="D91" s="12" t="s">
        <v>17</v>
      </c>
      <c r="E91" s="13" t="s">
        <v>131</v>
      </c>
      <c r="F91" s="14" t="n">
        <v>13000</v>
      </c>
      <c r="G91" s="14" t="n">
        <v>2500</v>
      </c>
      <c r="H91" s="14" t="n">
        <v>7500</v>
      </c>
    </row>
    <row r="92" customFormat="false" ht="15" hidden="false" customHeight="false" outlineLevel="0" collapsed="false">
      <c r="A92" s="12" t="s">
        <v>4</v>
      </c>
      <c r="B92" s="12" t="n">
        <v>2025</v>
      </c>
      <c r="C92" s="13" t="s">
        <v>11</v>
      </c>
      <c r="D92" s="12" t="s">
        <v>17</v>
      </c>
      <c r="E92" s="13" t="s">
        <v>132</v>
      </c>
      <c r="F92" s="14" t="n">
        <v>14000</v>
      </c>
      <c r="G92" s="14" t="n">
        <v>2900</v>
      </c>
      <c r="H92" s="14" t="n">
        <v>8100</v>
      </c>
    </row>
    <row r="93" customFormat="false" ht="15" hidden="false" customHeight="false" outlineLevel="0" collapsed="false">
      <c r="A93" s="12" t="s">
        <v>4</v>
      </c>
      <c r="B93" s="12" t="n">
        <v>2025</v>
      </c>
      <c r="C93" s="13" t="s">
        <v>11</v>
      </c>
      <c r="D93" s="12" t="s">
        <v>17</v>
      </c>
      <c r="E93" s="13" t="s">
        <v>133</v>
      </c>
      <c r="F93" s="14" t="n">
        <v>14000</v>
      </c>
      <c r="G93" s="14" t="n">
        <v>3500</v>
      </c>
      <c r="H93" s="14" t="n">
        <v>7900</v>
      </c>
    </row>
    <row r="94" customFormat="false" ht="15" hidden="false" customHeight="false" outlineLevel="0" collapsed="false">
      <c r="A94" s="12" t="s">
        <v>4</v>
      </c>
      <c r="B94" s="12" t="n">
        <v>2025</v>
      </c>
      <c r="C94" s="13" t="s">
        <v>11</v>
      </c>
      <c r="D94" s="12" t="s">
        <v>17</v>
      </c>
      <c r="E94" s="13" t="s">
        <v>134</v>
      </c>
      <c r="F94" s="14" t="n">
        <v>13200</v>
      </c>
      <c r="G94" s="14" t="n">
        <v>2900</v>
      </c>
      <c r="H94" s="14" t="n">
        <v>8000</v>
      </c>
    </row>
    <row r="95" customFormat="false" ht="15" hidden="false" customHeight="false" outlineLevel="0" collapsed="false">
      <c r="A95" s="12" t="s">
        <v>4</v>
      </c>
      <c r="B95" s="12" t="n">
        <v>2025</v>
      </c>
      <c r="C95" s="13" t="s">
        <v>11</v>
      </c>
      <c r="D95" s="12" t="s">
        <v>17</v>
      </c>
      <c r="E95" s="13" t="s">
        <v>135</v>
      </c>
      <c r="F95" s="14" t="n">
        <v>13600</v>
      </c>
      <c r="G95" s="14" t="n">
        <v>2800</v>
      </c>
      <c r="H95" s="14" t="n">
        <v>8100</v>
      </c>
    </row>
    <row r="96" customFormat="false" ht="15" hidden="false" customHeight="false" outlineLevel="0" collapsed="false">
      <c r="A96" s="12" t="s">
        <v>4</v>
      </c>
      <c r="B96" s="12" t="n">
        <v>2025</v>
      </c>
      <c r="C96" s="13" t="s">
        <v>11</v>
      </c>
      <c r="D96" s="12" t="s">
        <v>17</v>
      </c>
      <c r="E96" s="13" t="s">
        <v>136</v>
      </c>
      <c r="F96" s="14" t="n">
        <v>12500</v>
      </c>
      <c r="G96" s="14" t="n">
        <v>3500</v>
      </c>
      <c r="H96" s="14" t="n">
        <v>8500</v>
      </c>
    </row>
    <row r="97" customFormat="false" ht="15" hidden="false" customHeight="false" outlineLevel="0" collapsed="false">
      <c r="A97" s="12" t="s">
        <v>4</v>
      </c>
      <c r="B97" s="12" t="n">
        <v>2025</v>
      </c>
      <c r="C97" s="13" t="s">
        <v>11</v>
      </c>
      <c r="D97" s="12" t="s">
        <v>19</v>
      </c>
      <c r="E97" s="13" t="s">
        <v>137</v>
      </c>
      <c r="F97" s="14" t="n">
        <v>18800</v>
      </c>
      <c r="G97" s="14" t="n">
        <v>4800</v>
      </c>
      <c r="H97" s="14" t="n">
        <v>8700</v>
      </c>
    </row>
    <row r="98" customFormat="false" ht="15" hidden="false" customHeight="false" outlineLevel="0" collapsed="false">
      <c r="A98" s="12" t="s">
        <v>4</v>
      </c>
      <c r="B98" s="12" t="n">
        <v>2025</v>
      </c>
      <c r="C98" s="13" t="s">
        <v>11</v>
      </c>
      <c r="D98" s="12" t="s">
        <v>19</v>
      </c>
      <c r="E98" s="13" t="s">
        <v>138</v>
      </c>
      <c r="F98" s="14" t="n">
        <v>15800</v>
      </c>
      <c r="G98" s="14" t="n">
        <v>3900</v>
      </c>
      <c r="H98" s="14" t="n">
        <v>9200</v>
      </c>
    </row>
    <row r="99" customFormat="false" ht="15" hidden="false" customHeight="false" outlineLevel="0" collapsed="false">
      <c r="A99" s="12" t="s">
        <v>4</v>
      </c>
      <c r="B99" s="12" t="n">
        <v>2025</v>
      </c>
      <c r="C99" s="13" t="s">
        <v>11</v>
      </c>
      <c r="D99" s="12" t="s">
        <v>19</v>
      </c>
      <c r="E99" s="13" t="s">
        <v>139</v>
      </c>
      <c r="F99" s="14" t="n">
        <v>14900</v>
      </c>
      <c r="G99" s="14" t="n">
        <v>4400</v>
      </c>
      <c r="H99" s="14" t="n">
        <v>9300</v>
      </c>
    </row>
    <row r="100" customFormat="false" ht="15" hidden="false" customHeight="false" outlineLevel="0" collapsed="false">
      <c r="A100" s="12" t="s">
        <v>4</v>
      </c>
      <c r="B100" s="12" t="n">
        <v>2025</v>
      </c>
      <c r="C100" s="13" t="s">
        <v>11</v>
      </c>
      <c r="D100" s="12" t="s">
        <v>19</v>
      </c>
      <c r="E100" s="13" t="s">
        <v>140</v>
      </c>
      <c r="F100" s="14" t="n">
        <v>14200</v>
      </c>
      <c r="G100" s="14" t="n">
        <v>3600</v>
      </c>
      <c r="H100" s="14" t="n">
        <v>8400</v>
      </c>
    </row>
    <row r="101" customFormat="false" ht="15" hidden="false" customHeight="false" outlineLevel="0" collapsed="false">
      <c r="A101" s="12" t="s">
        <v>4</v>
      </c>
      <c r="B101" s="12" t="n">
        <v>2025</v>
      </c>
      <c r="C101" s="13" t="s">
        <v>11</v>
      </c>
      <c r="D101" s="12" t="s">
        <v>19</v>
      </c>
      <c r="E101" s="13" t="s">
        <v>141</v>
      </c>
      <c r="F101" s="14" t="n">
        <v>17900</v>
      </c>
      <c r="G101" s="14" t="n">
        <v>4900</v>
      </c>
      <c r="H101" s="14" t="n">
        <v>9900</v>
      </c>
    </row>
    <row r="102" customFormat="false" ht="15" hidden="false" customHeight="false" outlineLevel="0" collapsed="false">
      <c r="A102" s="12" t="s">
        <v>4</v>
      </c>
      <c r="B102" s="12" t="n">
        <v>2025</v>
      </c>
      <c r="C102" s="13" t="s">
        <v>11</v>
      </c>
      <c r="D102" s="12" t="s">
        <v>19</v>
      </c>
      <c r="E102" s="13" t="s">
        <v>142</v>
      </c>
      <c r="F102" s="14" t="n">
        <v>15200</v>
      </c>
      <c r="G102" s="14" t="n">
        <v>3500</v>
      </c>
      <c r="H102" s="14" t="n">
        <v>8500</v>
      </c>
    </row>
    <row r="103" customFormat="false" ht="15" hidden="false" customHeight="false" outlineLevel="0" collapsed="false">
      <c r="A103" s="12" t="s">
        <v>4</v>
      </c>
      <c r="B103" s="12" t="n">
        <v>2025</v>
      </c>
      <c r="C103" s="13" t="s">
        <v>11</v>
      </c>
      <c r="D103" s="12" t="s">
        <v>19</v>
      </c>
      <c r="E103" s="13" t="s">
        <v>143</v>
      </c>
      <c r="F103" s="14" t="n">
        <v>15900</v>
      </c>
      <c r="G103" s="14" t="n">
        <v>4500</v>
      </c>
      <c r="H103" s="14" t="n">
        <v>8300</v>
      </c>
    </row>
    <row r="104" customFormat="false" ht="15" hidden="false" customHeight="false" outlineLevel="0" collapsed="false">
      <c r="A104" s="12" t="s">
        <v>4</v>
      </c>
      <c r="B104" s="12" t="n">
        <v>2025</v>
      </c>
      <c r="C104" s="13" t="s">
        <v>11</v>
      </c>
      <c r="D104" s="12" t="s">
        <v>19</v>
      </c>
      <c r="E104" s="13" t="s">
        <v>144</v>
      </c>
      <c r="F104" s="14" t="n">
        <v>18600</v>
      </c>
      <c r="G104" s="14" t="n">
        <v>3300</v>
      </c>
      <c r="H104" s="14" t="n">
        <v>10000</v>
      </c>
    </row>
    <row r="105" customFormat="false" ht="15" hidden="false" customHeight="false" outlineLevel="0" collapsed="false">
      <c r="A105" s="12" t="s">
        <v>4</v>
      </c>
      <c r="B105" s="12" t="n">
        <v>2025</v>
      </c>
      <c r="C105" s="13" t="s">
        <v>11</v>
      </c>
      <c r="D105" s="12" t="s">
        <v>19</v>
      </c>
      <c r="E105" s="13" t="s">
        <v>145</v>
      </c>
      <c r="F105" s="14" t="n">
        <v>14300</v>
      </c>
      <c r="G105" s="14" t="n">
        <v>4400</v>
      </c>
      <c r="H105" s="14" t="n">
        <v>10900</v>
      </c>
    </row>
    <row r="106" customFormat="false" ht="15" hidden="false" customHeight="false" outlineLevel="0" collapsed="false">
      <c r="A106" s="12" t="s">
        <v>4</v>
      </c>
      <c r="B106" s="12" t="n">
        <v>2025</v>
      </c>
      <c r="C106" s="13" t="s">
        <v>11</v>
      </c>
      <c r="D106" s="12" t="s">
        <v>19</v>
      </c>
      <c r="E106" s="13" t="s">
        <v>146</v>
      </c>
      <c r="F106" s="14" t="n">
        <v>15500</v>
      </c>
      <c r="G106" s="14" t="n">
        <v>3900</v>
      </c>
      <c r="H106" s="14" t="n">
        <v>9100</v>
      </c>
    </row>
    <row r="107" customFormat="false" ht="15" hidden="false" customHeight="false" outlineLevel="0" collapsed="false">
      <c r="A107" s="12" t="s">
        <v>4</v>
      </c>
      <c r="B107" s="12" t="n">
        <v>2025</v>
      </c>
      <c r="C107" s="13" t="s">
        <v>11</v>
      </c>
      <c r="D107" s="12" t="s">
        <v>21</v>
      </c>
      <c r="E107" s="13" t="s">
        <v>147</v>
      </c>
      <c r="F107" s="14" t="n">
        <v>15000</v>
      </c>
      <c r="G107" s="14" t="n">
        <v>2600</v>
      </c>
      <c r="H107" s="14" t="n">
        <v>8600</v>
      </c>
    </row>
    <row r="108" customFormat="false" ht="15" hidden="false" customHeight="false" outlineLevel="0" collapsed="false">
      <c r="A108" s="12" t="s">
        <v>4</v>
      </c>
      <c r="B108" s="12" t="n">
        <v>2025</v>
      </c>
      <c r="C108" s="13" t="s">
        <v>11</v>
      </c>
      <c r="D108" s="12" t="s">
        <v>21</v>
      </c>
      <c r="E108" s="13" t="s">
        <v>148</v>
      </c>
      <c r="F108" s="14" t="n">
        <v>13500</v>
      </c>
      <c r="G108" s="14" t="n">
        <v>2600</v>
      </c>
      <c r="H108" s="14" t="n">
        <v>8100</v>
      </c>
    </row>
    <row r="109" customFormat="false" ht="15" hidden="false" customHeight="false" outlineLevel="0" collapsed="false">
      <c r="A109" s="12" t="s">
        <v>4</v>
      </c>
      <c r="B109" s="12" t="n">
        <v>2025</v>
      </c>
      <c r="C109" s="13" t="s">
        <v>11</v>
      </c>
      <c r="D109" s="12" t="s">
        <v>21</v>
      </c>
      <c r="E109" s="13" t="s">
        <v>149</v>
      </c>
      <c r="F109" s="14" t="n">
        <v>14500</v>
      </c>
      <c r="G109" s="14" t="n">
        <v>3500</v>
      </c>
      <c r="H109" s="14" t="n">
        <v>7400</v>
      </c>
    </row>
    <row r="110" customFormat="false" ht="15" hidden="false" customHeight="false" outlineLevel="0" collapsed="false">
      <c r="A110" s="12" t="s">
        <v>4</v>
      </c>
      <c r="B110" s="12" t="n">
        <v>2025</v>
      </c>
      <c r="C110" s="13" t="s">
        <v>11</v>
      </c>
      <c r="D110" s="12" t="s">
        <v>21</v>
      </c>
      <c r="E110" s="13" t="s">
        <v>150</v>
      </c>
      <c r="F110" s="14" t="n">
        <v>16500</v>
      </c>
      <c r="G110" s="14" t="n">
        <v>3900</v>
      </c>
      <c r="H110" s="14" t="n">
        <v>9700</v>
      </c>
    </row>
    <row r="111" customFormat="false" ht="15" hidden="false" customHeight="false" outlineLevel="0" collapsed="false">
      <c r="A111" s="12" t="s">
        <v>4</v>
      </c>
      <c r="B111" s="12" t="n">
        <v>2025</v>
      </c>
      <c r="C111" s="13" t="s">
        <v>11</v>
      </c>
      <c r="D111" s="12" t="s">
        <v>21</v>
      </c>
      <c r="E111" s="13" t="s">
        <v>151</v>
      </c>
      <c r="F111" s="14" t="n">
        <v>11600</v>
      </c>
      <c r="G111" s="14" t="n">
        <v>3000</v>
      </c>
      <c r="H111" s="14" t="n">
        <v>7300</v>
      </c>
    </row>
    <row r="112" customFormat="false" ht="15" hidden="false" customHeight="false" outlineLevel="0" collapsed="false">
      <c r="A112" s="12" t="s">
        <v>4</v>
      </c>
      <c r="B112" s="12" t="n">
        <v>2025</v>
      </c>
      <c r="C112" s="13" t="s">
        <v>11</v>
      </c>
      <c r="D112" s="12" t="s">
        <v>21</v>
      </c>
      <c r="E112" s="13" t="s">
        <v>152</v>
      </c>
      <c r="F112" s="14" t="n">
        <v>15300</v>
      </c>
      <c r="G112" s="14" t="n">
        <v>3100</v>
      </c>
      <c r="H112" s="14" t="n">
        <v>7600</v>
      </c>
    </row>
    <row r="113" customFormat="false" ht="15" hidden="false" customHeight="false" outlineLevel="0" collapsed="false">
      <c r="A113" s="12" t="s">
        <v>4</v>
      </c>
      <c r="B113" s="12" t="n">
        <v>2025</v>
      </c>
      <c r="C113" s="13" t="s">
        <v>11</v>
      </c>
      <c r="D113" s="12" t="s">
        <v>21</v>
      </c>
      <c r="E113" s="13" t="s">
        <v>153</v>
      </c>
      <c r="F113" s="14" t="n">
        <v>13400</v>
      </c>
      <c r="G113" s="14" t="n">
        <v>4200</v>
      </c>
      <c r="H113" s="14" t="n">
        <v>9300</v>
      </c>
    </row>
    <row r="114" customFormat="false" ht="15" hidden="false" customHeight="false" outlineLevel="0" collapsed="false">
      <c r="A114" s="12" t="s">
        <v>4</v>
      </c>
      <c r="B114" s="12" t="n">
        <v>2025</v>
      </c>
      <c r="C114" s="13" t="s">
        <v>11</v>
      </c>
      <c r="D114" s="12" t="s">
        <v>21</v>
      </c>
      <c r="E114" s="13" t="s">
        <v>154</v>
      </c>
      <c r="F114" s="14" t="n">
        <v>12500</v>
      </c>
      <c r="G114" s="14" t="n">
        <v>2800</v>
      </c>
      <c r="H114" s="14" t="n">
        <v>9600</v>
      </c>
    </row>
    <row r="115" customFormat="false" ht="15" hidden="false" customHeight="false" outlineLevel="0" collapsed="false">
      <c r="A115" s="12" t="s">
        <v>4</v>
      </c>
      <c r="B115" s="12" t="n">
        <v>2025</v>
      </c>
      <c r="C115" s="13" t="s">
        <v>11</v>
      </c>
      <c r="D115" s="12" t="s">
        <v>23</v>
      </c>
      <c r="E115" s="13" t="s">
        <v>155</v>
      </c>
      <c r="F115" s="14" t="n">
        <v>20700</v>
      </c>
      <c r="G115" s="14" t="n">
        <v>4200</v>
      </c>
      <c r="H115" s="14" t="n">
        <v>12100</v>
      </c>
    </row>
    <row r="116" customFormat="false" ht="15" hidden="false" customHeight="false" outlineLevel="0" collapsed="false">
      <c r="A116" s="12" t="s">
        <v>4</v>
      </c>
      <c r="B116" s="12" t="n">
        <v>2025</v>
      </c>
      <c r="C116" s="13" t="s">
        <v>11</v>
      </c>
      <c r="D116" s="12" t="s">
        <v>23</v>
      </c>
      <c r="E116" s="13" t="s">
        <v>156</v>
      </c>
      <c r="F116" s="14" t="n">
        <v>23200</v>
      </c>
      <c r="G116" s="14" t="n">
        <v>3900</v>
      </c>
      <c r="H116" s="14" t="n">
        <v>14500</v>
      </c>
    </row>
    <row r="117" customFormat="false" ht="15" hidden="false" customHeight="false" outlineLevel="0" collapsed="false">
      <c r="A117" s="12" t="s">
        <v>4</v>
      </c>
      <c r="B117" s="12" t="n">
        <v>2025</v>
      </c>
      <c r="C117" s="13" t="s">
        <v>11</v>
      </c>
      <c r="D117" s="12" t="s">
        <v>23</v>
      </c>
      <c r="E117" s="13" t="s">
        <v>157</v>
      </c>
      <c r="F117" s="14" t="n">
        <v>18800</v>
      </c>
      <c r="G117" s="14" t="n">
        <v>3500</v>
      </c>
      <c r="H117" s="14" t="n">
        <v>11400</v>
      </c>
    </row>
    <row r="118" customFormat="false" ht="15" hidden="false" customHeight="false" outlineLevel="0" collapsed="false">
      <c r="A118" s="12" t="s">
        <v>4</v>
      </c>
      <c r="B118" s="12" t="n">
        <v>2025</v>
      </c>
      <c r="C118" s="13" t="s">
        <v>11</v>
      </c>
      <c r="D118" s="12" t="s">
        <v>23</v>
      </c>
      <c r="E118" s="13" t="s">
        <v>158</v>
      </c>
      <c r="F118" s="14" t="n">
        <v>18700</v>
      </c>
      <c r="G118" s="14" t="n">
        <v>4800</v>
      </c>
      <c r="H118" s="14" t="n">
        <v>11900</v>
      </c>
    </row>
    <row r="119" customFormat="false" ht="15" hidden="false" customHeight="false" outlineLevel="0" collapsed="false">
      <c r="A119" s="12" t="s">
        <v>4</v>
      </c>
      <c r="B119" s="12" t="n">
        <v>2025</v>
      </c>
      <c r="C119" s="13" t="s">
        <v>11</v>
      </c>
      <c r="D119" s="12" t="s">
        <v>23</v>
      </c>
      <c r="E119" s="13" t="s">
        <v>159</v>
      </c>
      <c r="F119" s="14" t="n">
        <v>18700</v>
      </c>
      <c r="G119" s="14" t="n">
        <v>3700</v>
      </c>
      <c r="H119" s="14" t="n">
        <v>11100</v>
      </c>
    </row>
    <row r="120" customFormat="false" ht="15" hidden="false" customHeight="false" outlineLevel="0" collapsed="false">
      <c r="A120" s="12" t="s">
        <v>4</v>
      </c>
      <c r="B120" s="12" t="n">
        <v>2025</v>
      </c>
      <c r="C120" s="13" t="s">
        <v>11</v>
      </c>
      <c r="D120" s="12" t="s">
        <v>23</v>
      </c>
      <c r="E120" s="13" t="s">
        <v>160</v>
      </c>
      <c r="F120" s="14" t="n">
        <v>24800</v>
      </c>
      <c r="G120" s="14" t="n">
        <v>4400</v>
      </c>
      <c r="H120" s="14" t="n">
        <v>14600</v>
      </c>
    </row>
    <row r="121" customFormat="false" ht="15" hidden="false" customHeight="false" outlineLevel="0" collapsed="false">
      <c r="A121" s="12" t="s">
        <v>4</v>
      </c>
      <c r="B121" s="12" t="n">
        <v>2025</v>
      </c>
      <c r="C121" s="13" t="s">
        <v>11</v>
      </c>
      <c r="D121" s="12" t="s">
        <v>23</v>
      </c>
      <c r="E121" s="13" t="s">
        <v>161</v>
      </c>
      <c r="F121" s="14" t="n">
        <v>21700</v>
      </c>
      <c r="G121" s="14" t="n">
        <v>3500</v>
      </c>
      <c r="H121" s="14" t="n">
        <v>13800</v>
      </c>
    </row>
    <row r="122" customFormat="false" ht="15" hidden="false" customHeight="false" outlineLevel="0" collapsed="false">
      <c r="A122" s="12" t="s">
        <v>4</v>
      </c>
      <c r="B122" s="12" t="n">
        <v>2025</v>
      </c>
      <c r="C122" s="13" t="s">
        <v>11</v>
      </c>
      <c r="D122" s="12" t="s">
        <v>23</v>
      </c>
      <c r="E122" s="13" t="s">
        <v>162</v>
      </c>
      <c r="F122" s="14" t="n">
        <v>24300</v>
      </c>
      <c r="G122" s="14" t="n">
        <v>5700</v>
      </c>
      <c r="H122" s="14" t="n">
        <v>12100</v>
      </c>
    </row>
    <row r="123" customFormat="false" ht="15" hidden="false" customHeight="false" outlineLevel="0" collapsed="false">
      <c r="A123" s="12" t="s">
        <v>4</v>
      </c>
      <c r="B123" s="12" t="n">
        <v>2025</v>
      </c>
      <c r="C123" s="13" t="s">
        <v>11</v>
      </c>
      <c r="D123" s="12" t="s">
        <v>23</v>
      </c>
      <c r="E123" s="13" t="s">
        <v>163</v>
      </c>
      <c r="F123" s="14" t="n">
        <v>18100</v>
      </c>
      <c r="G123" s="14" t="n">
        <v>5600</v>
      </c>
      <c r="H123" s="14" t="n">
        <v>13500</v>
      </c>
    </row>
    <row r="124" customFormat="false" ht="15" hidden="false" customHeight="false" outlineLevel="0" collapsed="false">
      <c r="A124" s="12" t="s">
        <v>4</v>
      </c>
      <c r="B124" s="12" t="n">
        <v>2025</v>
      </c>
      <c r="C124" s="13" t="s">
        <v>11</v>
      </c>
      <c r="D124" s="12" t="s">
        <v>23</v>
      </c>
      <c r="E124" s="13" t="s">
        <v>164</v>
      </c>
      <c r="F124" s="14" t="n">
        <v>21000</v>
      </c>
      <c r="G124" s="14" t="n">
        <v>3900</v>
      </c>
      <c r="H124" s="14" t="n">
        <v>12800</v>
      </c>
    </row>
    <row r="125" customFormat="false" ht="15" hidden="false" customHeight="false" outlineLevel="0" collapsed="false">
      <c r="A125" s="12" t="s">
        <v>4</v>
      </c>
      <c r="B125" s="12" t="n">
        <v>2025</v>
      </c>
      <c r="C125" s="13" t="s">
        <v>11</v>
      </c>
      <c r="D125" s="12" t="s">
        <v>23</v>
      </c>
      <c r="E125" s="13" t="s">
        <v>165</v>
      </c>
      <c r="F125" s="14" t="n">
        <v>22100</v>
      </c>
      <c r="G125" s="14" t="n">
        <v>4100</v>
      </c>
      <c r="H125" s="14" t="n">
        <v>14200</v>
      </c>
    </row>
    <row r="126" customFormat="false" ht="15" hidden="false" customHeight="false" outlineLevel="0" collapsed="false">
      <c r="A126" s="12" t="s">
        <v>4</v>
      </c>
      <c r="B126" s="12" t="n">
        <v>2025</v>
      </c>
      <c r="C126" s="13" t="s">
        <v>11</v>
      </c>
      <c r="D126" s="12" t="s">
        <v>23</v>
      </c>
      <c r="E126" s="13" t="s">
        <v>166</v>
      </c>
      <c r="F126" s="14" t="n">
        <v>24800</v>
      </c>
      <c r="G126" s="14" t="n">
        <v>3500</v>
      </c>
      <c r="H126" s="14" t="n">
        <v>11100</v>
      </c>
    </row>
    <row r="127" customFormat="false" ht="15" hidden="false" customHeight="false" outlineLevel="0" collapsed="false">
      <c r="A127" s="12" t="s">
        <v>4</v>
      </c>
      <c r="B127" s="12" t="n">
        <v>2026</v>
      </c>
      <c r="C127" s="13" t="s">
        <v>9</v>
      </c>
      <c r="D127" s="12" t="s">
        <v>13</v>
      </c>
      <c r="E127" s="13" t="s">
        <v>167</v>
      </c>
      <c r="F127" s="14" t="n">
        <v>47800</v>
      </c>
      <c r="G127" s="14" t="n">
        <v>6800</v>
      </c>
      <c r="H127" s="14" t="n">
        <v>29500</v>
      </c>
    </row>
    <row r="128" customFormat="false" ht="15" hidden="false" customHeight="false" outlineLevel="0" collapsed="false">
      <c r="A128" s="12" t="s">
        <v>4</v>
      </c>
      <c r="B128" s="12" t="n">
        <v>2026</v>
      </c>
      <c r="C128" s="13" t="s">
        <v>9</v>
      </c>
      <c r="D128" s="12" t="s">
        <v>13</v>
      </c>
      <c r="E128" s="13" t="s">
        <v>168</v>
      </c>
      <c r="F128" s="14" t="n">
        <v>55000</v>
      </c>
      <c r="G128" s="14" t="n">
        <v>6500</v>
      </c>
      <c r="H128" s="14" t="n">
        <v>32500</v>
      </c>
    </row>
    <row r="129" customFormat="false" ht="15" hidden="false" customHeight="false" outlineLevel="0" collapsed="false">
      <c r="A129" s="12" t="s">
        <v>4</v>
      </c>
      <c r="B129" s="12" t="n">
        <v>2026</v>
      </c>
      <c r="C129" s="13" t="s">
        <v>9</v>
      </c>
      <c r="D129" s="12" t="s">
        <v>13</v>
      </c>
      <c r="E129" s="13" t="s">
        <v>169</v>
      </c>
      <c r="F129" s="14" t="n">
        <v>45600</v>
      </c>
      <c r="G129" s="14" t="n">
        <v>8100</v>
      </c>
      <c r="H129" s="14" t="n">
        <v>32700</v>
      </c>
    </row>
    <row r="130" customFormat="false" ht="15" hidden="false" customHeight="false" outlineLevel="0" collapsed="false">
      <c r="A130" s="12" t="s">
        <v>4</v>
      </c>
      <c r="B130" s="12" t="n">
        <v>2026</v>
      </c>
      <c r="C130" s="13" t="s">
        <v>9</v>
      </c>
      <c r="D130" s="12" t="s">
        <v>13</v>
      </c>
      <c r="E130" s="13" t="s">
        <v>170</v>
      </c>
      <c r="F130" s="14" t="n">
        <v>44800</v>
      </c>
      <c r="G130" s="14" t="n">
        <v>8100</v>
      </c>
      <c r="H130" s="14" t="n">
        <v>31400</v>
      </c>
    </row>
    <row r="131" customFormat="false" ht="15" hidden="false" customHeight="false" outlineLevel="0" collapsed="false">
      <c r="A131" s="12" t="s">
        <v>4</v>
      </c>
      <c r="B131" s="12" t="n">
        <v>2026</v>
      </c>
      <c r="C131" s="13" t="s">
        <v>9</v>
      </c>
      <c r="D131" s="12" t="s">
        <v>13</v>
      </c>
      <c r="E131" s="13" t="s">
        <v>171</v>
      </c>
      <c r="F131" s="14" t="n">
        <v>55900</v>
      </c>
      <c r="G131" s="14" t="n">
        <v>7500</v>
      </c>
      <c r="H131" s="14" t="n">
        <v>32600</v>
      </c>
    </row>
    <row r="132" customFormat="false" ht="15" hidden="false" customHeight="false" outlineLevel="0" collapsed="false">
      <c r="A132" s="12" t="s">
        <v>4</v>
      </c>
      <c r="B132" s="12" t="n">
        <v>2026</v>
      </c>
      <c r="C132" s="13" t="s">
        <v>9</v>
      </c>
      <c r="D132" s="12" t="s">
        <v>13</v>
      </c>
      <c r="E132" s="13" t="s">
        <v>172</v>
      </c>
      <c r="F132" s="14" t="n">
        <v>50700</v>
      </c>
      <c r="G132" s="14" t="n">
        <v>8700</v>
      </c>
      <c r="H132" s="14" t="n">
        <v>28800</v>
      </c>
    </row>
    <row r="133" customFormat="false" ht="15" hidden="false" customHeight="false" outlineLevel="0" collapsed="false">
      <c r="A133" s="12" t="s">
        <v>4</v>
      </c>
      <c r="B133" s="12" t="n">
        <v>2026</v>
      </c>
      <c r="C133" s="13" t="s">
        <v>9</v>
      </c>
      <c r="D133" s="12" t="s">
        <v>13</v>
      </c>
      <c r="E133" s="13" t="s">
        <v>173</v>
      </c>
      <c r="F133" s="14" t="n">
        <v>44000</v>
      </c>
      <c r="G133" s="14" t="n">
        <v>6300</v>
      </c>
      <c r="H133" s="14" t="n">
        <v>26400</v>
      </c>
    </row>
    <row r="134" customFormat="false" ht="15" hidden="false" customHeight="false" outlineLevel="0" collapsed="false">
      <c r="A134" s="12" t="s">
        <v>4</v>
      </c>
      <c r="B134" s="12" t="n">
        <v>2026</v>
      </c>
      <c r="C134" s="13" t="s">
        <v>9</v>
      </c>
      <c r="D134" s="12" t="s">
        <v>13</v>
      </c>
      <c r="E134" s="13" t="s">
        <v>174</v>
      </c>
      <c r="F134" s="14" t="n">
        <v>38800</v>
      </c>
      <c r="G134" s="14" t="n">
        <v>9100</v>
      </c>
      <c r="H134" s="14" t="n">
        <v>27500</v>
      </c>
    </row>
    <row r="135" customFormat="false" ht="15" hidden="false" customHeight="false" outlineLevel="0" collapsed="false">
      <c r="A135" s="12" t="s">
        <v>4</v>
      </c>
      <c r="B135" s="12" t="n">
        <v>2026</v>
      </c>
      <c r="C135" s="13" t="s">
        <v>9</v>
      </c>
      <c r="D135" s="12" t="s">
        <v>13</v>
      </c>
      <c r="E135" s="13" t="s">
        <v>175</v>
      </c>
      <c r="F135" s="14" t="n">
        <v>40500</v>
      </c>
      <c r="G135" s="14" t="n">
        <v>6400</v>
      </c>
      <c r="H135" s="14" t="n">
        <v>32700</v>
      </c>
    </row>
    <row r="136" customFormat="false" ht="15" hidden="false" customHeight="false" outlineLevel="0" collapsed="false">
      <c r="A136" s="12" t="s">
        <v>4</v>
      </c>
      <c r="B136" s="12" t="n">
        <v>2026</v>
      </c>
      <c r="C136" s="13" t="s">
        <v>9</v>
      </c>
      <c r="D136" s="12" t="s">
        <v>13</v>
      </c>
      <c r="E136" s="13" t="s">
        <v>176</v>
      </c>
      <c r="F136" s="14" t="n">
        <v>53800</v>
      </c>
      <c r="G136" s="14" t="n">
        <v>8800</v>
      </c>
      <c r="H136" s="14" t="n">
        <v>27700</v>
      </c>
    </row>
    <row r="137" customFormat="false" ht="15" hidden="false" customHeight="false" outlineLevel="0" collapsed="false">
      <c r="A137" s="12" t="s">
        <v>4</v>
      </c>
      <c r="B137" s="12" t="n">
        <v>2026</v>
      </c>
      <c r="C137" s="13" t="s">
        <v>9</v>
      </c>
      <c r="D137" s="12" t="s">
        <v>13</v>
      </c>
      <c r="E137" s="13" t="s">
        <v>177</v>
      </c>
      <c r="F137" s="14" t="n">
        <v>42000</v>
      </c>
      <c r="G137" s="14" t="n">
        <v>7300</v>
      </c>
      <c r="H137" s="14" t="n">
        <v>29300</v>
      </c>
    </row>
    <row r="138" customFormat="false" ht="15" hidden="false" customHeight="false" outlineLevel="0" collapsed="false">
      <c r="A138" s="12" t="s">
        <v>4</v>
      </c>
      <c r="B138" s="12" t="n">
        <v>2026</v>
      </c>
      <c r="C138" s="13" t="s">
        <v>9</v>
      </c>
      <c r="D138" s="12" t="s">
        <v>13</v>
      </c>
      <c r="E138" s="13" t="s">
        <v>178</v>
      </c>
      <c r="F138" s="14" t="n">
        <v>40400</v>
      </c>
      <c r="G138" s="14" t="n">
        <v>7900</v>
      </c>
      <c r="H138" s="14" t="n">
        <v>27600</v>
      </c>
    </row>
    <row r="139" customFormat="false" ht="15" hidden="false" customHeight="false" outlineLevel="0" collapsed="false">
      <c r="A139" s="12" t="s">
        <v>4</v>
      </c>
      <c r="B139" s="12" t="n">
        <v>2026</v>
      </c>
      <c r="C139" s="13" t="s">
        <v>9</v>
      </c>
      <c r="D139" s="12" t="s">
        <v>15</v>
      </c>
      <c r="E139" s="13" t="s">
        <v>179</v>
      </c>
      <c r="F139" s="14" t="n">
        <v>22500</v>
      </c>
      <c r="G139" s="14" t="n">
        <v>2800</v>
      </c>
      <c r="H139" s="14" t="n">
        <v>11700</v>
      </c>
    </row>
    <row r="140" customFormat="false" ht="15" hidden="false" customHeight="false" outlineLevel="0" collapsed="false">
      <c r="A140" s="12" t="s">
        <v>4</v>
      </c>
      <c r="B140" s="12" t="n">
        <v>2026</v>
      </c>
      <c r="C140" s="13" t="s">
        <v>9</v>
      </c>
      <c r="D140" s="12" t="s">
        <v>15</v>
      </c>
      <c r="E140" s="13" t="s">
        <v>180</v>
      </c>
      <c r="F140" s="14" t="n">
        <v>22400</v>
      </c>
      <c r="G140" s="14" t="n">
        <v>2400</v>
      </c>
      <c r="H140" s="14" t="n">
        <v>12200</v>
      </c>
    </row>
    <row r="141" customFormat="false" ht="15" hidden="false" customHeight="false" outlineLevel="0" collapsed="false">
      <c r="A141" s="12" t="s">
        <v>4</v>
      </c>
      <c r="B141" s="12" t="n">
        <v>2026</v>
      </c>
      <c r="C141" s="13" t="s">
        <v>9</v>
      </c>
      <c r="D141" s="12" t="s">
        <v>15</v>
      </c>
      <c r="E141" s="13" t="s">
        <v>181</v>
      </c>
      <c r="F141" s="14" t="n">
        <v>15100</v>
      </c>
      <c r="G141" s="14" t="n">
        <v>2500</v>
      </c>
      <c r="H141" s="14" t="n">
        <v>12600</v>
      </c>
    </row>
    <row r="142" customFormat="false" ht="15" hidden="false" customHeight="false" outlineLevel="0" collapsed="false">
      <c r="A142" s="12" t="s">
        <v>4</v>
      </c>
      <c r="B142" s="12" t="n">
        <v>2026</v>
      </c>
      <c r="C142" s="13" t="s">
        <v>9</v>
      </c>
      <c r="D142" s="12" t="s">
        <v>15</v>
      </c>
      <c r="E142" s="13" t="s">
        <v>182</v>
      </c>
      <c r="F142" s="14" t="n">
        <v>18900</v>
      </c>
      <c r="G142" s="14" t="n">
        <v>2300</v>
      </c>
      <c r="H142" s="14" t="n">
        <v>12700</v>
      </c>
    </row>
    <row r="143" customFormat="false" ht="15" hidden="false" customHeight="false" outlineLevel="0" collapsed="false">
      <c r="A143" s="12" t="s">
        <v>4</v>
      </c>
      <c r="B143" s="12" t="n">
        <v>2026</v>
      </c>
      <c r="C143" s="13" t="s">
        <v>9</v>
      </c>
      <c r="D143" s="12" t="s">
        <v>15</v>
      </c>
      <c r="E143" s="13" t="s">
        <v>183</v>
      </c>
      <c r="F143" s="14" t="n">
        <v>15200</v>
      </c>
      <c r="G143" s="14" t="n">
        <v>2400</v>
      </c>
      <c r="H143" s="14" t="n">
        <v>11200</v>
      </c>
    </row>
    <row r="144" customFormat="false" ht="15" hidden="false" customHeight="false" outlineLevel="0" collapsed="false">
      <c r="A144" s="12" t="s">
        <v>4</v>
      </c>
      <c r="B144" s="12" t="n">
        <v>2026</v>
      </c>
      <c r="C144" s="13" t="s">
        <v>9</v>
      </c>
      <c r="D144" s="12" t="s">
        <v>15</v>
      </c>
      <c r="E144" s="13" t="s">
        <v>184</v>
      </c>
      <c r="F144" s="14" t="n">
        <v>18200</v>
      </c>
      <c r="G144" s="14" t="n">
        <v>2100</v>
      </c>
      <c r="H144" s="14" t="n">
        <v>10900</v>
      </c>
    </row>
    <row r="145" customFormat="false" ht="15" hidden="false" customHeight="false" outlineLevel="0" collapsed="false">
      <c r="A145" s="12" t="s">
        <v>4</v>
      </c>
      <c r="B145" s="12" t="n">
        <v>2026</v>
      </c>
      <c r="C145" s="13" t="s">
        <v>9</v>
      </c>
      <c r="D145" s="12" t="s">
        <v>15</v>
      </c>
      <c r="E145" s="13" t="s">
        <v>185</v>
      </c>
      <c r="F145" s="14" t="n">
        <v>17400</v>
      </c>
      <c r="G145" s="14" t="n">
        <v>2300</v>
      </c>
      <c r="H145" s="14" t="n">
        <v>13000</v>
      </c>
    </row>
    <row r="146" customFormat="false" ht="15" hidden="false" customHeight="false" outlineLevel="0" collapsed="false">
      <c r="A146" s="12" t="s">
        <v>4</v>
      </c>
      <c r="B146" s="12" t="n">
        <v>2026</v>
      </c>
      <c r="C146" s="13" t="s">
        <v>9</v>
      </c>
      <c r="D146" s="12" t="s">
        <v>15</v>
      </c>
      <c r="E146" s="13" t="s">
        <v>186</v>
      </c>
      <c r="F146" s="14" t="n">
        <v>19100</v>
      </c>
      <c r="G146" s="14" t="n">
        <v>3000</v>
      </c>
      <c r="H146" s="14" t="n">
        <v>13300</v>
      </c>
    </row>
    <row r="147" customFormat="false" ht="15" hidden="false" customHeight="false" outlineLevel="0" collapsed="false">
      <c r="A147" s="12" t="s">
        <v>4</v>
      </c>
      <c r="B147" s="12" t="n">
        <v>2026</v>
      </c>
      <c r="C147" s="13" t="s">
        <v>9</v>
      </c>
      <c r="D147" s="12" t="s">
        <v>15</v>
      </c>
      <c r="E147" s="13" t="s">
        <v>187</v>
      </c>
      <c r="F147" s="14" t="n">
        <v>20600</v>
      </c>
      <c r="G147" s="14" t="n">
        <v>3200</v>
      </c>
      <c r="H147" s="14" t="n">
        <v>12300</v>
      </c>
    </row>
    <row r="148" customFormat="false" ht="15" hidden="false" customHeight="false" outlineLevel="0" collapsed="false">
      <c r="A148" s="12" t="s">
        <v>4</v>
      </c>
      <c r="B148" s="12" t="n">
        <v>2026</v>
      </c>
      <c r="C148" s="13" t="s">
        <v>9</v>
      </c>
      <c r="D148" s="12" t="s">
        <v>15</v>
      </c>
      <c r="E148" s="13" t="s">
        <v>188</v>
      </c>
      <c r="F148" s="14" t="n">
        <v>17600</v>
      </c>
      <c r="G148" s="14" t="n">
        <v>3400</v>
      </c>
      <c r="H148" s="14" t="n">
        <v>11400</v>
      </c>
    </row>
    <row r="149" customFormat="false" ht="15" hidden="false" customHeight="false" outlineLevel="0" collapsed="false">
      <c r="A149" s="12" t="s">
        <v>4</v>
      </c>
      <c r="B149" s="12" t="n">
        <v>2026</v>
      </c>
      <c r="C149" s="13" t="s">
        <v>9</v>
      </c>
      <c r="D149" s="12" t="s">
        <v>17</v>
      </c>
      <c r="E149" s="13" t="s">
        <v>189</v>
      </c>
      <c r="F149" s="14" t="n">
        <v>10500</v>
      </c>
      <c r="G149" s="14" t="n">
        <v>1700</v>
      </c>
      <c r="H149" s="14" t="n">
        <v>9300</v>
      </c>
    </row>
    <row r="150" customFormat="false" ht="15" hidden="false" customHeight="false" outlineLevel="0" collapsed="false">
      <c r="A150" s="12" t="s">
        <v>4</v>
      </c>
      <c r="B150" s="12" t="n">
        <v>2026</v>
      </c>
      <c r="C150" s="13" t="s">
        <v>9</v>
      </c>
      <c r="D150" s="12" t="s">
        <v>17</v>
      </c>
      <c r="E150" s="13" t="s">
        <v>190</v>
      </c>
      <c r="F150" s="14" t="n">
        <v>11500</v>
      </c>
      <c r="G150" s="14" t="n">
        <v>2400</v>
      </c>
      <c r="H150" s="14" t="n">
        <v>9100</v>
      </c>
    </row>
    <row r="151" customFormat="false" ht="15" hidden="false" customHeight="false" outlineLevel="0" collapsed="false">
      <c r="A151" s="12" t="s">
        <v>4</v>
      </c>
      <c r="B151" s="12" t="n">
        <v>2026</v>
      </c>
      <c r="C151" s="13" t="s">
        <v>9</v>
      </c>
      <c r="D151" s="12" t="s">
        <v>17</v>
      </c>
      <c r="E151" s="13" t="s">
        <v>191</v>
      </c>
      <c r="F151" s="14" t="n">
        <v>11100</v>
      </c>
      <c r="G151" s="14" t="n">
        <v>1800</v>
      </c>
      <c r="H151" s="14" t="n">
        <v>8500</v>
      </c>
    </row>
    <row r="152" customFormat="false" ht="15" hidden="false" customHeight="false" outlineLevel="0" collapsed="false">
      <c r="A152" s="12" t="s">
        <v>4</v>
      </c>
      <c r="B152" s="12" t="n">
        <v>2026</v>
      </c>
      <c r="C152" s="13" t="s">
        <v>9</v>
      </c>
      <c r="D152" s="12" t="s">
        <v>17</v>
      </c>
      <c r="E152" s="13" t="s">
        <v>192</v>
      </c>
      <c r="F152" s="14" t="n">
        <v>9900</v>
      </c>
      <c r="G152" s="14" t="n">
        <v>2600</v>
      </c>
      <c r="H152" s="14" t="n">
        <v>9300</v>
      </c>
    </row>
    <row r="153" customFormat="false" ht="15" hidden="false" customHeight="false" outlineLevel="0" collapsed="false">
      <c r="A153" s="12" t="s">
        <v>4</v>
      </c>
      <c r="B153" s="12" t="n">
        <v>2026</v>
      </c>
      <c r="C153" s="13" t="s">
        <v>9</v>
      </c>
      <c r="D153" s="12" t="s">
        <v>17</v>
      </c>
      <c r="E153" s="13" t="s">
        <v>193</v>
      </c>
      <c r="F153" s="14" t="n">
        <v>11200</v>
      </c>
      <c r="G153" s="14" t="n">
        <v>2300</v>
      </c>
      <c r="H153" s="14" t="n">
        <v>9500</v>
      </c>
    </row>
    <row r="154" customFormat="false" ht="15" hidden="false" customHeight="false" outlineLevel="0" collapsed="false">
      <c r="A154" s="12" t="s">
        <v>4</v>
      </c>
      <c r="B154" s="12" t="n">
        <v>2026</v>
      </c>
      <c r="C154" s="13" t="s">
        <v>9</v>
      </c>
      <c r="D154" s="12" t="s">
        <v>17</v>
      </c>
      <c r="E154" s="13" t="s">
        <v>194</v>
      </c>
      <c r="F154" s="14" t="n">
        <v>10600</v>
      </c>
      <c r="G154" s="14" t="n">
        <v>2500</v>
      </c>
      <c r="H154" s="14" t="n">
        <v>7800</v>
      </c>
    </row>
    <row r="155" customFormat="false" ht="15" hidden="false" customHeight="false" outlineLevel="0" collapsed="false">
      <c r="A155" s="12" t="s">
        <v>4</v>
      </c>
      <c r="B155" s="12" t="n">
        <v>2026</v>
      </c>
      <c r="C155" s="13" t="s">
        <v>9</v>
      </c>
      <c r="D155" s="12" t="s">
        <v>17</v>
      </c>
      <c r="E155" s="13" t="s">
        <v>195</v>
      </c>
      <c r="F155" s="14" t="n">
        <v>8100</v>
      </c>
      <c r="G155" s="14" t="n">
        <v>1800</v>
      </c>
      <c r="H155" s="14" t="n">
        <v>8100</v>
      </c>
    </row>
    <row r="156" customFormat="false" ht="15" hidden="false" customHeight="false" outlineLevel="0" collapsed="false">
      <c r="A156" s="12" t="s">
        <v>4</v>
      </c>
      <c r="B156" s="12" t="n">
        <v>2026</v>
      </c>
      <c r="C156" s="13" t="s">
        <v>9</v>
      </c>
      <c r="D156" s="12" t="s">
        <v>17</v>
      </c>
      <c r="E156" s="13" t="s">
        <v>196</v>
      </c>
      <c r="F156" s="14" t="n">
        <v>8300</v>
      </c>
      <c r="G156" s="14" t="n">
        <v>2600</v>
      </c>
      <c r="H156" s="14" t="n">
        <v>8600</v>
      </c>
    </row>
    <row r="157" customFormat="false" ht="15" hidden="false" customHeight="false" outlineLevel="0" collapsed="false">
      <c r="A157" s="12" t="s">
        <v>4</v>
      </c>
      <c r="B157" s="12" t="n">
        <v>2026</v>
      </c>
      <c r="C157" s="13" t="s">
        <v>9</v>
      </c>
      <c r="D157" s="12" t="s">
        <v>17</v>
      </c>
      <c r="E157" s="13" t="s">
        <v>197</v>
      </c>
      <c r="F157" s="14" t="n">
        <v>10400</v>
      </c>
      <c r="G157" s="14" t="n">
        <v>2400</v>
      </c>
      <c r="H157" s="14" t="n">
        <v>8900</v>
      </c>
    </row>
    <row r="158" customFormat="false" ht="15" hidden="false" customHeight="false" outlineLevel="0" collapsed="false">
      <c r="A158" s="12" t="s">
        <v>4</v>
      </c>
      <c r="B158" s="12" t="n">
        <v>2026</v>
      </c>
      <c r="C158" s="13" t="s">
        <v>9</v>
      </c>
      <c r="D158" s="12" t="s">
        <v>17</v>
      </c>
      <c r="E158" s="13" t="s">
        <v>198</v>
      </c>
      <c r="F158" s="14" t="n">
        <v>9900</v>
      </c>
      <c r="G158" s="14" t="n">
        <v>1700</v>
      </c>
      <c r="H158" s="14" t="n">
        <v>9200</v>
      </c>
    </row>
    <row r="159" customFormat="false" ht="15" hidden="false" customHeight="false" outlineLevel="0" collapsed="false">
      <c r="A159" s="12" t="s">
        <v>4</v>
      </c>
      <c r="B159" s="12" t="n">
        <v>2026</v>
      </c>
      <c r="C159" s="13" t="s">
        <v>9</v>
      </c>
      <c r="D159" s="12" t="s">
        <v>17</v>
      </c>
      <c r="E159" s="13" t="s">
        <v>199</v>
      </c>
      <c r="F159" s="14" t="n">
        <v>10900</v>
      </c>
      <c r="G159" s="14" t="n">
        <v>2300</v>
      </c>
      <c r="H159" s="14" t="n">
        <v>8600</v>
      </c>
    </row>
    <row r="160" customFormat="false" ht="15" hidden="false" customHeight="false" outlineLevel="0" collapsed="false">
      <c r="A160" s="12" t="s">
        <v>4</v>
      </c>
      <c r="B160" s="12" t="n">
        <v>2026</v>
      </c>
      <c r="C160" s="13" t="s">
        <v>9</v>
      </c>
      <c r="D160" s="12" t="s">
        <v>17</v>
      </c>
      <c r="E160" s="13" t="s">
        <v>200</v>
      </c>
      <c r="F160" s="14" t="n">
        <v>10500</v>
      </c>
      <c r="G160" s="14" t="n">
        <v>1800</v>
      </c>
      <c r="H160" s="14" t="n">
        <v>9100</v>
      </c>
    </row>
    <row r="161" customFormat="false" ht="15" hidden="false" customHeight="false" outlineLevel="0" collapsed="false">
      <c r="A161" s="12" t="s">
        <v>4</v>
      </c>
      <c r="B161" s="12" t="n">
        <v>2026</v>
      </c>
      <c r="C161" s="13" t="s">
        <v>9</v>
      </c>
      <c r="D161" s="12" t="s">
        <v>19</v>
      </c>
      <c r="E161" s="13" t="s">
        <v>201</v>
      </c>
      <c r="F161" s="14" t="n">
        <v>14200</v>
      </c>
      <c r="G161" s="14" t="n">
        <v>3700</v>
      </c>
      <c r="H161" s="14" t="n">
        <v>9300</v>
      </c>
    </row>
    <row r="162" customFormat="false" ht="15" hidden="false" customHeight="false" outlineLevel="0" collapsed="false">
      <c r="A162" s="12" t="s">
        <v>4</v>
      </c>
      <c r="B162" s="12" t="n">
        <v>2026</v>
      </c>
      <c r="C162" s="13" t="s">
        <v>9</v>
      </c>
      <c r="D162" s="12" t="s">
        <v>19</v>
      </c>
      <c r="E162" s="13" t="s">
        <v>202</v>
      </c>
      <c r="F162" s="14" t="n">
        <v>13900</v>
      </c>
      <c r="G162" s="14" t="n">
        <v>2700</v>
      </c>
      <c r="H162" s="14" t="n">
        <v>10500</v>
      </c>
    </row>
    <row r="163" customFormat="false" ht="15" hidden="false" customHeight="false" outlineLevel="0" collapsed="false">
      <c r="A163" s="12" t="s">
        <v>4</v>
      </c>
      <c r="B163" s="12" t="n">
        <v>2026</v>
      </c>
      <c r="C163" s="13" t="s">
        <v>9</v>
      </c>
      <c r="D163" s="12" t="s">
        <v>19</v>
      </c>
      <c r="E163" s="13" t="s">
        <v>203</v>
      </c>
      <c r="F163" s="14" t="n">
        <v>12400</v>
      </c>
      <c r="G163" s="14" t="n">
        <v>3700</v>
      </c>
      <c r="H163" s="14" t="n">
        <v>8800</v>
      </c>
    </row>
    <row r="164" customFormat="false" ht="15" hidden="false" customHeight="false" outlineLevel="0" collapsed="false">
      <c r="A164" s="12" t="s">
        <v>4</v>
      </c>
      <c r="B164" s="12" t="n">
        <v>2026</v>
      </c>
      <c r="C164" s="13" t="s">
        <v>9</v>
      </c>
      <c r="D164" s="12" t="s">
        <v>19</v>
      </c>
      <c r="E164" s="13" t="s">
        <v>204</v>
      </c>
      <c r="F164" s="14" t="n">
        <v>14700</v>
      </c>
      <c r="G164" s="14" t="n">
        <v>2800</v>
      </c>
      <c r="H164" s="14" t="n">
        <v>8700</v>
      </c>
    </row>
    <row r="165" customFormat="false" ht="15" hidden="false" customHeight="false" outlineLevel="0" collapsed="false">
      <c r="A165" s="12" t="s">
        <v>4</v>
      </c>
      <c r="B165" s="12" t="n">
        <v>2026</v>
      </c>
      <c r="C165" s="13" t="s">
        <v>9</v>
      </c>
      <c r="D165" s="12" t="s">
        <v>19</v>
      </c>
      <c r="E165" s="13" t="s">
        <v>205</v>
      </c>
      <c r="F165" s="14" t="n">
        <v>13300</v>
      </c>
      <c r="G165" s="14" t="n">
        <v>2700</v>
      </c>
      <c r="H165" s="14" t="n">
        <v>10400</v>
      </c>
    </row>
    <row r="166" customFormat="false" ht="15" hidden="false" customHeight="false" outlineLevel="0" collapsed="false">
      <c r="A166" s="12" t="s">
        <v>4</v>
      </c>
      <c r="B166" s="12" t="n">
        <v>2026</v>
      </c>
      <c r="C166" s="13" t="s">
        <v>9</v>
      </c>
      <c r="D166" s="12" t="s">
        <v>19</v>
      </c>
      <c r="E166" s="13" t="s">
        <v>206</v>
      </c>
      <c r="F166" s="14" t="n">
        <v>11800</v>
      </c>
      <c r="G166" s="14" t="n">
        <v>3400</v>
      </c>
      <c r="H166" s="14" t="n">
        <v>10700</v>
      </c>
    </row>
    <row r="167" customFormat="false" ht="15" hidden="false" customHeight="false" outlineLevel="0" collapsed="false">
      <c r="A167" s="12" t="s">
        <v>4</v>
      </c>
      <c r="B167" s="12" t="n">
        <v>2026</v>
      </c>
      <c r="C167" s="13" t="s">
        <v>9</v>
      </c>
      <c r="D167" s="12" t="s">
        <v>19</v>
      </c>
      <c r="E167" s="13" t="s">
        <v>207</v>
      </c>
      <c r="F167" s="14" t="n">
        <v>13200</v>
      </c>
      <c r="G167" s="14" t="n">
        <v>2600</v>
      </c>
      <c r="H167" s="14" t="n">
        <v>10000</v>
      </c>
    </row>
    <row r="168" customFormat="false" ht="15" hidden="false" customHeight="false" outlineLevel="0" collapsed="false">
      <c r="A168" s="12" t="s">
        <v>4</v>
      </c>
      <c r="B168" s="12" t="n">
        <v>2026</v>
      </c>
      <c r="C168" s="13" t="s">
        <v>9</v>
      </c>
      <c r="D168" s="12" t="s">
        <v>19</v>
      </c>
      <c r="E168" s="13" t="s">
        <v>208</v>
      </c>
      <c r="F168" s="14" t="n">
        <v>12500</v>
      </c>
      <c r="G168" s="14" t="n">
        <v>3900</v>
      </c>
      <c r="H168" s="14" t="n">
        <v>8900</v>
      </c>
    </row>
    <row r="169" customFormat="false" ht="15" hidden="false" customHeight="false" outlineLevel="0" collapsed="false">
      <c r="A169" s="12" t="s">
        <v>4</v>
      </c>
      <c r="B169" s="12" t="n">
        <v>2026</v>
      </c>
      <c r="C169" s="13" t="s">
        <v>9</v>
      </c>
      <c r="D169" s="12" t="s">
        <v>19</v>
      </c>
      <c r="E169" s="13" t="s">
        <v>209</v>
      </c>
      <c r="F169" s="14" t="n">
        <v>11200</v>
      </c>
      <c r="G169" s="14" t="n">
        <v>3100</v>
      </c>
      <c r="H169" s="14" t="n">
        <v>10700</v>
      </c>
    </row>
    <row r="170" customFormat="false" ht="15" hidden="false" customHeight="false" outlineLevel="0" collapsed="false">
      <c r="A170" s="12" t="s">
        <v>4</v>
      </c>
      <c r="B170" s="12" t="n">
        <v>2026</v>
      </c>
      <c r="C170" s="13" t="s">
        <v>9</v>
      </c>
      <c r="D170" s="12" t="s">
        <v>19</v>
      </c>
      <c r="E170" s="13" t="s">
        <v>210</v>
      </c>
      <c r="F170" s="14" t="n">
        <v>11500</v>
      </c>
      <c r="G170" s="14" t="n">
        <v>3100</v>
      </c>
      <c r="H170" s="14" t="n">
        <v>10900</v>
      </c>
    </row>
    <row r="171" customFormat="false" ht="15" hidden="false" customHeight="false" outlineLevel="0" collapsed="false">
      <c r="A171" s="12" t="s">
        <v>4</v>
      </c>
      <c r="B171" s="12" t="n">
        <v>2026</v>
      </c>
      <c r="C171" s="13" t="s">
        <v>9</v>
      </c>
      <c r="D171" s="12" t="s">
        <v>21</v>
      </c>
      <c r="E171" s="13" t="s">
        <v>211</v>
      </c>
      <c r="F171" s="14" t="n">
        <v>9500</v>
      </c>
      <c r="G171" s="14" t="n">
        <v>3300</v>
      </c>
      <c r="H171" s="14" t="n">
        <v>10200</v>
      </c>
    </row>
    <row r="172" customFormat="false" ht="15" hidden="false" customHeight="false" outlineLevel="0" collapsed="false">
      <c r="A172" s="12" t="s">
        <v>4</v>
      </c>
      <c r="B172" s="12" t="n">
        <v>2026</v>
      </c>
      <c r="C172" s="13" t="s">
        <v>9</v>
      </c>
      <c r="D172" s="12" t="s">
        <v>21</v>
      </c>
      <c r="E172" s="13" t="s">
        <v>212</v>
      </c>
      <c r="F172" s="14" t="n">
        <v>8700</v>
      </c>
      <c r="G172" s="14" t="n">
        <v>2600</v>
      </c>
      <c r="H172" s="14" t="n">
        <v>9900</v>
      </c>
    </row>
    <row r="173" customFormat="false" ht="15" hidden="false" customHeight="false" outlineLevel="0" collapsed="false">
      <c r="A173" s="12" t="s">
        <v>4</v>
      </c>
      <c r="B173" s="12" t="n">
        <v>2026</v>
      </c>
      <c r="C173" s="13" t="s">
        <v>9</v>
      </c>
      <c r="D173" s="12" t="s">
        <v>21</v>
      </c>
      <c r="E173" s="13" t="s">
        <v>213</v>
      </c>
      <c r="F173" s="14" t="n">
        <v>12800</v>
      </c>
      <c r="G173" s="14" t="n">
        <v>2600</v>
      </c>
      <c r="H173" s="14" t="n">
        <v>8400</v>
      </c>
    </row>
    <row r="174" customFormat="false" ht="15" hidden="false" customHeight="false" outlineLevel="0" collapsed="false">
      <c r="A174" s="12" t="s">
        <v>4</v>
      </c>
      <c r="B174" s="12" t="n">
        <v>2026</v>
      </c>
      <c r="C174" s="13" t="s">
        <v>9</v>
      </c>
      <c r="D174" s="12" t="s">
        <v>21</v>
      </c>
      <c r="E174" s="13" t="s">
        <v>214</v>
      </c>
      <c r="F174" s="14" t="n">
        <v>9600</v>
      </c>
      <c r="G174" s="14" t="n">
        <v>3300</v>
      </c>
      <c r="H174" s="14" t="n">
        <v>8200</v>
      </c>
    </row>
    <row r="175" customFormat="false" ht="15" hidden="false" customHeight="false" outlineLevel="0" collapsed="false">
      <c r="A175" s="12" t="s">
        <v>4</v>
      </c>
      <c r="B175" s="12" t="n">
        <v>2026</v>
      </c>
      <c r="C175" s="13" t="s">
        <v>9</v>
      </c>
      <c r="D175" s="12" t="s">
        <v>21</v>
      </c>
      <c r="E175" s="13" t="s">
        <v>215</v>
      </c>
      <c r="F175" s="14" t="n">
        <v>11200</v>
      </c>
      <c r="G175" s="14" t="n">
        <v>2200</v>
      </c>
      <c r="H175" s="14" t="n">
        <v>9100</v>
      </c>
    </row>
    <row r="176" customFormat="false" ht="15" hidden="false" customHeight="false" outlineLevel="0" collapsed="false">
      <c r="A176" s="12" t="s">
        <v>4</v>
      </c>
      <c r="B176" s="12" t="n">
        <v>2026</v>
      </c>
      <c r="C176" s="13" t="s">
        <v>9</v>
      </c>
      <c r="D176" s="12" t="s">
        <v>21</v>
      </c>
      <c r="E176" s="13" t="s">
        <v>216</v>
      </c>
      <c r="F176" s="14" t="n">
        <v>12800</v>
      </c>
      <c r="G176" s="14" t="n">
        <v>2200</v>
      </c>
      <c r="H176" s="14" t="n">
        <v>9900</v>
      </c>
    </row>
    <row r="177" customFormat="false" ht="15" hidden="false" customHeight="false" outlineLevel="0" collapsed="false">
      <c r="A177" s="12" t="s">
        <v>4</v>
      </c>
      <c r="B177" s="12" t="n">
        <v>2026</v>
      </c>
      <c r="C177" s="13" t="s">
        <v>9</v>
      </c>
      <c r="D177" s="12" t="s">
        <v>21</v>
      </c>
      <c r="E177" s="13" t="s">
        <v>217</v>
      </c>
      <c r="F177" s="14" t="n">
        <v>10800</v>
      </c>
      <c r="G177" s="14" t="n">
        <v>3200</v>
      </c>
      <c r="H177" s="14" t="n">
        <v>9600</v>
      </c>
    </row>
    <row r="178" customFormat="false" ht="15" hidden="false" customHeight="false" outlineLevel="0" collapsed="false">
      <c r="A178" s="12" t="s">
        <v>4</v>
      </c>
      <c r="B178" s="12" t="n">
        <v>2026</v>
      </c>
      <c r="C178" s="13" t="s">
        <v>9</v>
      </c>
      <c r="D178" s="12" t="s">
        <v>21</v>
      </c>
      <c r="E178" s="13" t="s">
        <v>218</v>
      </c>
      <c r="F178" s="14" t="n">
        <v>9700</v>
      </c>
      <c r="G178" s="14" t="n">
        <v>3200</v>
      </c>
      <c r="H178" s="14" t="n">
        <v>9000</v>
      </c>
    </row>
    <row r="179" customFormat="false" ht="15" hidden="false" customHeight="false" outlineLevel="0" collapsed="false">
      <c r="A179" s="12" t="s">
        <v>4</v>
      </c>
      <c r="B179" s="12" t="n">
        <v>2026</v>
      </c>
      <c r="C179" s="13" t="s">
        <v>9</v>
      </c>
      <c r="D179" s="12" t="s">
        <v>21</v>
      </c>
      <c r="E179" s="13" t="s">
        <v>219</v>
      </c>
      <c r="F179" s="14" t="n">
        <v>8800</v>
      </c>
      <c r="G179" s="14" t="n">
        <v>2000</v>
      </c>
      <c r="H179" s="14" t="n">
        <v>9000</v>
      </c>
    </row>
    <row r="180" customFormat="false" ht="15" hidden="false" customHeight="false" outlineLevel="0" collapsed="false">
      <c r="A180" s="12" t="s">
        <v>4</v>
      </c>
      <c r="B180" s="12" t="n">
        <v>2026</v>
      </c>
      <c r="C180" s="13" t="s">
        <v>9</v>
      </c>
      <c r="D180" s="12" t="s">
        <v>21</v>
      </c>
      <c r="E180" s="13" t="s">
        <v>220</v>
      </c>
      <c r="F180" s="14" t="n">
        <v>10600</v>
      </c>
      <c r="G180" s="14" t="n">
        <v>2400</v>
      </c>
      <c r="H180" s="14" t="n">
        <v>8000</v>
      </c>
    </row>
    <row r="181" customFormat="false" ht="15" hidden="false" customHeight="false" outlineLevel="0" collapsed="false">
      <c r="A181" s="12" t="s">
        <v>4</v>
      </c>
      <c r="B181" s="12" t="n">
        <v>2026</v>
      </c>
      <c r="C181" s="13" t="s">
        <v>9</v>
      </c>
      <c r="D181" s="12" t="s">
        <v>21</v>
      </c>
      <c r="E181" s="13" t="s">
        <v>221</v>
      </c>
      <c r="F181" s="14" t="n">
        <v>10100</v>
      </c>
      <c r="G181" s="14" t="n">
        <v>2500</v>
      </c>
      <c r="H181" s="14" t="n">
        <v>9900</v>
      </c>
    </row>
    <row r="182" customFormat="false" ht="15" hidden="false" customHeight="false" outlineLevel="0" collapsed="false">
      <c r="A182" s="12" t="s">
        <v>4</v>
      </c>
      <c r="B182" s="12" t="n">
        <v>2026</v>
      </c>
      <c r="C182" s="13" t="s">
        <v>9</v>
      </c>
      <c r="D182" s="12" t="s">
        <v>21</v>
      </c>
      <c r="E182" s="13" t="s">
        <v>222</v>
      </c>
      <c r="F182" s="14" t="n">
        <v>8700</v>
      </c>
      <c r="G182" s="14" t="n">
        <v>3000</v>
      </c>
      <c r="H182" s="14" t="n">
        <v>9900</v>
      </c>
    </row>
    <row r="183" customFormat="false" ht="15" hidden="false" customHeight="false" outlineLevel="0" collapsed="false">
      <c r="A183" s="12" t="s">
        <v>4</v>
      </c>
      <c r="B183" s="12" t="n">
        <v>2026</v>
      </c>
      <c r="C183" s="13" t="s">
        <v>9</v>
      </c>
      <c r="D183" s="12" t="s">
        <v>23</v>
      </c>
      <c r="E183" s="13" t="s">
        <v>223</v>
      </c>
      <c r="F183" s="14" t="n">
        <v>19100</v>
      </c>
      <c r="G183" s="14" t="n">
        <v>3100</v>
      </c>
      <c r="H183" s="14" t="n">
        <v>11800</v>
      </c>
    </row>
    <row r="184" customFormat="false" ht="15" hidden="false" customHeight="false" outlineLevel="0" collapsed="false">
      <c r="A184" s="12" t="s">
        <v>4</v>
      </c>
      <c r="B184" s="12" t="n">
        <v>2026</v>
      </c>
      <c r="C184" s="13" t="s">
        <v>9</v>
      </c>
      <c r="D184" s="12" t="s">
        <v>23</v>
      </c>
      <c r="E184" s="13" t="s">
        <v>224</v>
      </c>
      <c r="F184" s="14" t="n">
        <v>17800</v>
      </c>
      <c r="G184" s="14" t="n">
        <v>3200</v>
      </c>
      <c r="H184" s="14" t="n">
        <v>12000</v>
      </c>
    </row>
    <row r="185" customFormat="false" ht="15" hidden="false" customHeight="false" outlineLevel="0" collapsed="false">
      <c r="A185" s="12" t="s">
        <v>4</v>
      </c>
      <c r="B185" s="12" t="n">
        <v>2026</v>
      </c>
      <c r="C185" s="13" t="s">
        <v>9</v>
      </c>
      <c r="D185" s="12" t="s">
        <v>23</v>
      </c>
      <c r="E185" s="13" t="s">
        <v>225</v>
      </c>
      <c r="F185" s="14" t="n">
        <v>15500</v>
      </c>
      <c r="G185" s="14" t="n">
        <v>4300</v>
      </c>
      <c r="H185" s="14" t="n">
        <v>12000</v>
      </c>
    </row>
    <row r="186" customFormat="false" ht="15" hidden="false" customHeight="false" outlineLevel="0" collapsed="false">
      <c r="A186" s="12" t="s">
        <v>4</v>
      </c>
      <c r="B186" s="12" t="n">
        <v>2026</v>
      </c>
      <c r="C186" s="13" t="s">
        <v>9</v>
      </c>
      <c r="D186" s="12" t="s">
        <v>23</v>
      </c>
      <c r="E186" s="13" t="s">
        <v>226</v>
      </c>
      <c r="F186" s="14" t="n">
        <v>19000</v>
      </c>
      <c r="G186" s="14" t="n">
        <v>4100</v>
      </c>
      <c r="H186" s="14" t="n">
        <v>15200</v>
      </c>
    </row>
    <row r="187" customFormat="false" ht="15" hidden="false" customHeight="false" outlineLevel="0" collapsed="false">
      <c r="A187" s="12" t="s">
        <v>4</v>
      </c>
      <c r="B187" s="12" t="n">
        <v>2026</v>
      </c>
      <c r="C187" s="13" t="s">
        <v>9</v>
      </c>
      <c r="D187" s="12" t="s">
        <v>23</v>
      </c>
      <c r="E187" s="13" t="s">
        <v>227</v>
      </c>
      <c r="F187" s="14" t="n">
        <v>14800</v>
      </c>
      <c r="G187" s="14" t="n">
        <v>2800</v>
      </c>
      <c r="H187" s="14" t="n">
        <v>14400</v>
      </c>
    </row>
    <row r="188" customFormat="false" ht="15" hidden="false" customHeight="false" outlineLevel="0" collapsed="false">
      <c r="A188" s="12" t="s">
        <v>4</v>
      </c>
      <c r="B188" s="12" t="n">
        <v>2026</v>
      </c>
      <c r="C188" s="13" t="s">
        <v>9</v>
      </c>
      <c r="D188" s="12" t="s">
        <v>23</v>
      </c>
      <c r="E188" s="13" t="s">
        <v>228</v>
      </c>
      <c r="F188" s="14" t="n">
        <v>17100</v>
      </c>
      <c r="G188" s="14" t="n">
        <v>3000</v>
      </c>
      <c r="H188" s="14" t="n">
        <v>15700</v>
      </c>
    </row>
    <row r="189" customFormat="false" ht="15" hidden="false" customHeight="false" outlineLevel="0" collapsed="false">
      <c r="A189" s="12" t="s">
        <v>4</v>
      </c>
      <c r="B189" s="12" t="n">
        <v>2026</v>
      </c>
      <c r="C189" s="13" t="s">
        <v>9</v>
      </c>
      <c r="D189" s="12" t="s">
        <v>23</v>
      </c>
      <c r="E189" s="13" t="s">
        <v>229</v>
      </c>
      <c r="F189" s="14" t="n">
        <v>15800</v>
      </c>
      <c r="G189" s="14" t="n">
        <v>3300</v>
      </c>
      <c r="H189" s="14" t="n">
        <v>14900</v>
      </c>
    </row>
    <row r="190" customFormat="false" ht="15" hidden="false" customHeight="false" outlineLevel="0" collapsed="false">
      <c r="A190" s="12" t="s">
        <v>4</v>
      </c>
      <c r="B190" s="12" t="n">
        <v>2026</v>
      </c>
      <c r="C190" s="13" t="s">
        <v>9</v>
      </c>
      <c r="D190" s="12" t="s">
        <v>23</v>
      </c>
      <c r="E190" s="13" t="s">
        <v>230</v>
      </c>
      <c r="F190" s="14" t="n">
        <v>18100</v>
      </c>
      <c r="G190" s="14" t="n">
        <v>3500</v>
      </c>
      <c r="H190" s="14" t="n">
        <v>11800</v>
      </c>
    </row>
    <row r="191" customFormat="false" ht="15" hidden="false" customHeight="false" outlineLevel="0" collapsed="false">
      <c r="A191" s="12" t="s">
        <v>4</v>
      </c>
      <c r="B191" s="12" t="n">
        <v>2026</v>
      </c>
      <c r="C191" s="13" t="s">
        <v>11</v>
      </c>
      <c r="D191" s="12" t="s">
        <v>13</v>
      </c>
      <c r="E191" s="13" t="s">
        <v>231</v>
      </c>
      <c r="F191" s="14" t="n">
        <v>73900</v>
      </c>
      <c r="G191" s="14" t="n">
        <v>13400</v>
      </c>
      <c r="H191" s="14" t="n">
        <v>30100</v>
      </c>
    </row>
    <row r="192" customFormat="false" ht="15" hidden="false" customHeight="false" outlineLevel="0" collapsed="false">
      <c r="A192" s="12" t="s">
        <v>4</v>
      </c>
      <c r="B192" s="12" t="n">
        <v>2026</v>
      </c>
      <c r="C192" s="13" t="s">
        <v>11</v>
      </c>
      <c r="D192" s="12" t="s">
        <v>13</v>
      </c>
      <c r="E192" s="13" t="s">
        <v>232</v>
      </c>
      <c r="F192" s="14" t="n">
        <v>69000</v>
      </c>
      <c r="G192" s="14" t="n">
        <v>8500</v>
      </c>
      <c r="H192" s="14" t="n">
        <v>31700</v>
      </c>
    </row>
    <row r="193" customFormat="false" ht="15" hidden="false" customHeight="false" outlineLevel="0" collapsed="false">
      <c r="A193" s="12" t="s">
        <v>4</v>
      </c>
      <c r="B193" s="12" t="n">
        <v>2026</v>
      </c>
      <c r="C193" s="13" t="s">
        <v>11</v>
      </c>
      <c r="D193" s="12" t="s">
        <v>13</v>
      </c>
      <c r="E193" s="13" t="s">
        <v>233</v>
      </c>
      <c r="F193" s="14" t="n">
        <v>62100</v>
      </c>
      <c r="G193" s="14" t="n">
        <v>12400</v>
      </c>
      <c r="H193" s="14" t="n">
        <v>31000</v>
      </c>
    </row>
    <row r="194" customFormat="false" ht="15" hidden="false" customHeight="false" outlineLevel="0" collapsed="false">
      <c r="A194" s="12" t="s">
        <v>4</v>
      </c>
      <c r="B194" s="12" t="n">
        <v>2026</v>
      </c>
      <c r="C194" s="13" t="s">
        <v>11</v>
      </c>
      <c r="D194" s="12" t="s">
        <v>13</v>
      </c>
      <c r="E194" s="13" t="s">
        <v>234</v>
      </c>
      <c r="F194" s="14" t="n">
        <v>58000</v>
      </c>
      <c r="G194" s="14" t="n">
        <v>8500</v>
      </c>
      <c r="H194" s="14" t="n">
        <v>33500</v>
      </c>
    </row>
    <row r="195" customFormat="false" ht="15" hidden="false" customHeight="false" outlineLevel="0" collapsed="false">
      <c r="A195" s="12" t="s">
        <v>4</v>
      </c>
      <c r="B195" s="12" t="n">
        <v>2026</v>
      </c>
      <c r="C195" s="13" t="s">
        <v>11</v>
      </c>
      <c r="D195" s="12" t="s">
        <v>13</v>
      </c>
      <c r="E195" s="13" t="s">
        <v>235</v>
      </c>
      <c r="F195" s="14" t="n">
        <v>53900</v>
      </c>
      <c r="G195" s="14" t="n">
        <v>10800</v>
      </c>
      <c r="H195" s="14" t="n">
        <v>28300</v>
      </c>
    </row>
    <row r="196" customFormat="false" ht="15" hidden="false" customHeight="false" outlineLevel="0" collapsed="false">
      <c r="A196" s="12" t="s">
        <v>4</v>
      </c>
      <c r="B196" s="12" t="n">
        <v>2026</v>
      </c>
      <c r="C196" s="13" t="s">
        <v>11</v>
      </c>
      <c r="D196" s="12" t="s">
        <v>13</v>
      </c>
      <c r="E196" s="13" t="s">
        <v>236</v>
      </c>
      <c r="F196" s="14" t="n">
        <v>58300</v>
      </c>
      <c r="G196" s="14" t="n">
        <v>12300</v>
      </c>
      <c r="H196" s="14" t="n">
        <v>33900</v>
      </c>
    </row>
    <row r="197" customFormat="false" ht="15" hidden="false" customHeight="false" outlineLevel="0" collapsed="false">
      <c r="A197" s="12" t="s">
        <v>4</v>
      </c>
      <c r="B197" s="12" t="n">
        <v>2026</v>
      </c>
      <c r="C197" s="13" t="s">
        <v>11</v>
      </c>
      <c r="D197" s="12" t="s">
        <v>13</v>
      </c>
      <c r="E197" s="13" t="s">
        <v>237</v>
      </c>
      <c r="F197" s="14" t="n">
        <v>57300</v>
      </c>
      <c r="G197" s="14" t="n">
        <v>11800</v>
      </c>
      <c r="H197" s="14" t="n">
        <v>27900</v>
      </c>
    </row>
    <row r="198" customFormat="false" ht="15" hidden="false" customHeight="false" outlineLevel="0" collapsed="false">
      <c r="A198" s="12" t="s">
        <v>4</v>
      </c>
      <c r="B198" s="12" t="n">
        <v>2026</v>
      </c>
      <c r="C198" s="13" t="s">
        <v>11</v>
      </c>
      <c r="D198" s="12" t="s">
        <v>13</v>
      </c>
      <c r="E198" s="13" t="s">
        <v>238</v>
      </c>
      <c r="F198" s="14" t="n">
        <v>64800</v>
      </c>
      <c r="G198" s="14" t="n">
        <v>10400</v>
      </c>
      <c r="H198" s="14" t="n">
        <v>26700</v>
      </c>
    </row>
    <row r="199" customFormat="false" ht="15" hidden="false" customHeight="false" outlineLevel="0" collapsed="false">
      <c r="A199" s="12" t="s">
        <v>4</v>
      </c>
      <c r="B199" s="12" t="n">
        <v>2026</v>
      </c>
      <c r="C199" s="13" t="s">
        <v>11</v>
      </c>
      <c r="D199" s="12" t="s">
        <v>13</v>
      </c>
      <c r="E199" s="13" t="s">
        <v>239</v>
      </c>
      <c r="F199" s="14" t="n">
        <v>54800</v>
      </c>
      <c r="G199" s="14" t="n">
        <v>9400</v>
      </c>
      <c r="H199" s="14" t="n">
        <v>33300</v>
      </c>
    </row>
    <row r="200" customFormat="false" ht="15" hidden="false" customHeight="false" outlineLevel="0" collapsed="false">
      <c r="A200" s="12" t="s">
        <v>4</v>
      </c>
      <c r="B200" s="12" t="n">
        <v>2026</v>
      </c>
      <c r="C200" s="13" t="s">
        <v>11</v>
      </c>
      <c r="D200" s="12" t="s">
        <v>13</v>
      </c>
      <c r="E200" s="13" t="s">
        <v>240</v>
      </c>
      <c r="F200" s="14" t="n">
        <v>63300</v>
      </c>
      <c r="G200" s="14" t="n">
        <v>9400</v>
      </c>
      <c r="H200" s="14" t="n">
        <v>33300</v>
      </c>
    </row>
    <row r="201" customFormat="false" ht="15" hidden="false" customHeight="false" outlineLevel="0" collapsed="false">
      <c r="A201" s="12" t="s">
        <v>4</v>
      </c>
      <c r="B201" s="12" t="n">
        <v>2026</v>
      </c>
      <c r="C201" s="13" t="s">
        <v>11</v>
      </c>
      <c r="D201" s="12" t="s">
        <v>13</v>
      </c>
      <c r="E201" s="13" t="s">
        <v>241</v>
      </c>
      <c r="F201" s="14" t="n">
        <v>76000</v>
      </c>
      <c r="G201" s="14" t="n">
        <v>10700</v>
      </c>
      <c r="H201" s="14" t="n">
        <v>26500</v>
      </c>
    </row>
    <row r="202" customFormat="false" ht="15" hidden="false" customHeight="false" outlineLevel="0" collapsed="false">
      <c r="A202" s="12" t="s">
        <v>4</v>
      </c>
      <c r="B202" s="12" t="n">
        <v>2026</v>
      </c>
      <c r="C202" s="13" t="s">
        <v>11</v>
      </c>
      <c r="D202" s="12" t="s">
        <v>15</v>
      </c>
      <c r="E202" s="13" t="s">
        <v>242</v>
      </c>
      <c r="F202" s="14" t="n">
        <v>23000</v>
      </c>
      <c r="G202" s="14" t="n">
        <v>3100</v>
      </c>
      <c r="H202" s="14" t="n">
        <v>12900</v>
      </c>
    </row>
    <row r="203" customFormat="false" ht="15" hidden="false" customHeight="false" outlineLevel="0" collapsed="false">
      <c r="A203" s="12" t="s">
        <v>4</v>
      </c>
      <c r="B203" s="12" t="n">
        <v>2026</v>
      </c>
      <c r="C203" s="13" t="s">
        <v>11</v>
      </c>
      <c r="D203" s="12" t="s">
        <v>15</v>
      </c>
      <c r="E203" s="13" t="s">
        <v>243</v>
      </c>
      <c r="F203" s="14" t="n">
        <v>23700</v>
      </c>
      <c r="G203" s="14" t="n">
        <v>3400</v>
      </c>
      <c r="H203" s="14" t="n">
        <v>13900</v>
      </c>
    </row>
    <row r="204" customFormat="false" ht="15" hidden="false" customHeight="false" outlineLevel="0" collapsed="false">
      <c r="A204" s="12" t="s">
        <v>4</v>
      </c>
      <c r="B204" s="12" t="n">
        <v>2026</v>
      </c>
      <c r="C204" s="13" t="s">
        <v>11</v>
      </c>
      <c r="D204" s="12" t="s">
        <v>15</v>
      </c>
      <c r="E204" s="13" t="s">
        <v>244</v>
      </c>
      <c r="F204" s="14" t="n">
        <v>22500</v>
      </c>
      <c r="G204" s="14" t="n">
        <v>2800</v>
      </c>
      <c r="H204" s="14" t="n">
        <v>14100</v>
      </c>
    </row>
    <row r="205" customFormat="false" ht="15" hidden="false" customHeight="false" outlineLevel="0" collapsed="false">
      <c r="A205" s="12" t="s">
        <v>4</v>
      </c>
      <c r="B205" s="12" t="n">
        <v>2026</v>
      </c>
      <c r="C205" s="13" t="s">
        <v>11</v>
      </c>
      <c r="D205" s="12" t="s">
        <v>15</v>
      </c>
      <c r="E205" s="13" t="s">
        <v>245</v>
      </c>
      <c r="F205" s="14" t="n">
        <v>24400</v>
      </c>
      <c r="G205" s="14" t="n">
        <v>4100</v>
      </c>
      <c r="H205" s="14" t="n">
        <v>11600</v>
      </c>
    </row>
    <row r="206" customFormat="false" ht="15" hidden="false" customHeight="false" outlineLevel="0" collapsed="false">
      <c r="A206" s="12" t="s">
        <v>4</v>
      </c>
      <c r="B206" s="12" t="n">
        <v>2026</v>
      </c>
      <c r="C206" s="13" t="s">
        <v>11</v>
      </c>
      <c r="D206" s="12" t="s">
        <v>15</v>
      </c>
      <c r="E206" s="13" t="s">
        <v>246</v>
      </c>
      <c r="F206" s="14" t="n">
        <v>23200</v>
      </c>
      <c r="G206" s="14" t="n">
        <v>4100</v>
      </c>
      <c r="H206" s="14" t="n">
        <v>12700</v>
      </c>
    </row>
    <row r="207" customFormat="false" ht="15" hidden="false" customHeight="false" outlineLevel="0" collapsed="false">
      <c r="A207" s="12" t="s">
        <v>4</v>
      </c>
      <c r="B207" s="12" t="n">
        <v>2026</v>
      </c>
      <c r="C207" s="13" t="s">
        <v>11</v>
      </c>
      <c r="D207" s="12" t="s">
        <v>15</v>
      </c>
      <c r="E207" s="13" t="s">
        <v>247</v>
      </c>
      <c r="F207" s="14" t="n">
        <v>26400</v>
      </c>
      <c r="G207" s="14" t="n">
        <v>3400</v>
      </c>
      <c r="H207" s="14" t="n">
        <v>13400</v>
      </c>
    </row>
    <row r="208" customFormat="false" ht="15" hidden="false" customHeight="false" outlineLevel="0" collapsed="false">
      <c r="A208" s="12" t="s">
        <v>4</v>
      </c>
      <c r="B208" s="12" t="n">
        <v>2026</v>
      </c>
      <c r="C208" s="13" t="s">
        <v>11</v>
      </c>
      <c r="D208" s="12" t="s">
        <v>15</v>
      </c>
      <c r="E208" s="13" t="s">
        <v>248</v>
      </c>
      <c r="F208" s="14" t="n">
        <v>25900</v>
      </c>
      <c r="G208" s="14" t="n">
        <v>4200</v>
      </c>
      <c r="H208" s="14" t="n">
        <v>14100</v>
      </c>
    </row>
    <row r="209" customFormat="false" ht="15" hidden="false" customHeight="false" outlineLevel="0" collapsed="false">
      <c r="A209" s="12" t="s">
        <v>4</v>
      </c>
      <c r="B209" s="12" t="n">
        <v>2026</v>
      </c>
      <c r="C209" s="13" t="s">
        <v>11</v>
      </c>
      <c r="D209" s="12" t="s">
        <v>15</v>
      </c>
      <c r="E209" s="13" t="s">
        <v>249</v>
      </c>
      <c r="F209" s="14" t="n">
        <v>21400</v>
      </c>
      <c r="G209" s="14" t="n">
        <v>4400</v>
      </c>
      <c r="H209" s="14" t="n">
        <v>12300</v>
      </c>
    </row>
    <row r="210" customFormat="false" ht="15" hidden="false" customHeight="false" outlineLevel="0" collapsed="false">
      <c r="A210" s="12" t="s">
        <v>4</v>
      </c>
      <c r="B210" s="12" t="n">
        <v>2026</v>
      </c>
      <c r="C210" s="13" t="s">
        <v>11</v>
      </c>
      <c r="D210" s="12" t="s">
        <v>15</v>
      </c>
      <c r="E210" s="13" t="s">
        <v>250</v>
      </c>
      <c r="F210" s="14" t="n">
        <v>27100</v>
      </c>
      <c r="G210" s="14" t="n">
        <v>3500</v>
      </c>
      <c r="H210" s="14" t="n">
        <v>12000</v>
      </c>
    </row>
    <row r="211" customFormat="false" ht="15" hidden="false" customHeight="false" outlineLevel="0" collapsed="false">
      <c r="A211" s="12" t="s">
        <v>4</v>
      </c>
      <c r="B211" s="12" t="n">
        <v>2026</v>
      </c>
      <c r="C211" s="13" t="s">
        <v>11</v>
      </c>
      <c r="D211" s="12" t="s">
        <v>17</v>
      </c>
      <c r="E211" s="13" t="s">
        <v>251</v>
      </c>
      <c r="F211" s="14" t="n">
        <v>11400</v>
      </c>
      <c r="G211" s="14" t="n">
        <v>2900</v>
      </c>
      <c r="H211" s="14" t="n">
        <v>9200</v>
      </c>
    </row>
    <row r="212" customFormat="false" ht="15" hidden="false" customHeight="false" outlineLevel="0" collapsed="false">
      <c r="A212" s="12" t="s">
        <v>4</v>
      </c>
      <c r="B212" s="12" t="n">
        <v>2026</v>
      </c>
      <c r="C212" s="13" t="s">
        <v>11</v>
      </c>
      <c r="D212" s="12" t="s">
        <v>17</v>
      </c>
      <c r="E212" s="13" t="s">
        <v>252</v>
      </c>
      <c r="F212" s="14" t="n">
        <v>15000</v>
      </c>
      <c r="G212" s="14" t="n">
        <v>3800</v>
      </c>
      <c r="H212" s="14" t="n">
        <v>8500</v>
      </c>
    </row>
    <row r="213" customFormat="false" ht="15" hidden="false" customHeight="false" outlineLevel="0" collapsed="false">
      <c r="A213" s="12" t="s">
        <v>4</v>
      </c>
      <c r="B213" s="12" t="n">
        <v>2026</v>
      </c>
      <c r="C213" s="13" t="s">
        <v>11</v>
      </c>
      <c r="D213" s="12" t="s">
        <v>17</v>
      </c>
      <c r="E213" s="13" t="s">
        <v>253</v>
      </c>
      <c r="F213" s="14" t="n">
        <v>11100</v>
      </c>
      <c r="G213" s="14" t="n">
        <v>3700</v>
      </c>
      <c r="H213" s="14" t="n">
        <v>9600</v>
      </c>
    </row>
    <row r="214" customFormat="false" ht="15" hidden="false" customHeight="false" outlineLevel="0" collapsed="false">
      <c r="A214" s="12" t="s">
        <v>4</v>
      </c>
      <c r="B214" s="12" t="n">
        <v>2026</v>
      </c>
      <c r="C214" s="13" t="s">
        <v>11</v>
      </c>
      <c r="D214" s="12" t="s">
        <v>17</v>
      </c>
      <c r="E214" s="13" t="s">
        <v>254</v>
      </c>
      <c r="F214" s="14" t="n">
        <v>13600</v>
      </c>
      <c r="G214" s="14" t="n">
        <v>3000</v>
      </c>
      <c r="H214" s="14" t="n">
        <v>8400</v>
      </c>
    </row>
    <row r="215" customFormat="false" ht="15" hidden="false" customHeight="false" outlineLevel="0" collapsed="false">
      <c r="A215" s="12" t="s">
        <v>4</v>
      </c>
      <c r="B215" s="12" t="n">
        <v>2026</v>
      </c>
      <c r="C215" s="13" t="s">
        <v>11</v>
      </c>
      <c r="D215" s="12" t="s">
        <v>17</v>
      </c>
      <c r="E215" s="13" t="s">
        <v>255</v>
      </c>
      <c r="F215" s="14" t="n">
        <v>14900</v>
      </c>
      <c r="G215" s="14" t="n">
        <v>2600</v>
      </c>
      <c r="H215" s="14" t="n">
        <v>7600</v>
      </c>
    </row>
    <row r="216" customFormat="false" ht="15" hidden="false" customHeight="false" outlineLevel="0" collapsed="false">
      <c r="A216" s="12" t="s">
        <v>4</v>
      </c>
      <c r="B216" s="12" t="n">
        <v>2026</v>
      </c>
      <c r="C216" s="13" t="s">
        <v>11</v>
      </c>
      <c r="D216" s="12" t="s">
        <v>17</v>
      </c>
      <c r="E216" s="13" t="s">
        <v>256</v>
      </c>
      <c r="F216" s="14" t="n">
        <v>15900</v>
      </c>
      <c r="G216" s="14" t="n">
        <v>2500</v>
      </c>
      <c r="H216" s="14" t="n">
        <v>9300</v>
      </c>
    </row>
    <row r="217" customFormat="false" ht="15" hidden="false" customHeight="false" outlineLevel="0" collapsed="false">
      <c r="A217" s="12" t="s">
        <v>4</v>
      </c>
      <c r="B217" s="12" t="n">
        <v>2026</v>
      </c>
      <c r="C217" s="13" t="s">
        <v>11</v>
      </c>
      <c r="D217" s="12" t="s">
        <v>17</v>
      </c>
      <c r="E217" s="13" t="s">
        <v>257</v>
      </c>
      <c r="F217" s="14" t="n">
        <v>14500</v>
      </c>
      <c r="G217" s="14" t="n">
        <v>3600</v>
      </c>
      <c r="H217" s="14" t="n">
        <v>9500</v>
      </c>
    </row>
    <row r="218" customFormat="false" ht="15" hidden="false" customHeight="false" outlineLevel="0" collapsed="false">
      <c r="A218" s="12" t="s">
        <v>4</v>
      </c>
      <c r="B218" s="12" t="n">
        <v>2026</v>
      </c>
      <c r="C218" s="13" t="s">
        <v>11</v>
      </c>
      <c r="D218" s="12" t="s">
        <v>17</v>
      </c>
      <c r="E218" s="13" t="s">
        <v>258</v>
      </c>
      <c r="F218" s="14" t="n">
        <v>11200</v>
      </c>
      <c r="G218" s="14" t="n">
        <v>3500</v>
      </c>
      <c r="H218" s="14" t="n">
        <v>7200</v>
      </c>
    </row>
    <row r="219" customFormat="false" ht="15" hidden="false" customHeight="false" outlineLevel="0" collapsed="false">
      <c r="A219" s="12" t="s">
        <v>4</v>
      </c>
      <c r="B219" s="12" t="n">
        <v>2026</v>
      </c>
      <c r="C219" s="13" t="s">
        <v>11</v>
      </c>
      <c r="D219" s="12" t="s">
        <v>19</v>
      </c>
      <c r="E219" s="13" t="s">
        <v>259</v>
      </c>
      <c r="F219" s="14" t="n">
        <v>15200</v>
      </c>
      <c r="G219" s="14" t="n">
        <v>5200</v>
      </c>
      <c r="H219" s="14" t="n">
        <v>10500</v>
      </c>
    </row>
    <row r="220" customFormat="false" ht="15" hidden="false" customHeight="false" outlineLevel="0" collapsed="false">
      <c r="A220" s="12" t="s">
        <v>4</v>
      </c>
      <c r="B220" s="12" t="n">
        <v>2026</v>
      </c>
      <c r="C220" s="13" t="s">
        <v>11</v>
      </c>
      <c r="D220" s="12" t="s">
        <v>19</v>
      </c>
      <c r="E220" s="13" t="s">
        <v>260</v>
      </c>
      <c r="F220" s="14" t="n">
        <v>15700</v>
      </c>
      <c r="G220" s="14" t="n">
        <v>3500</v>
      </c>
      <c r="H220" s="14" t="n">
        <v>9300</v>
      </c>
    </row>
    <row r="221" customFormat="false" ht="15" hidden="false" customHeight="false" outlineLevel="0" collapsed="false">
      <c r="A221" s="12" t="s">
        <v>4</v>
      </c>
      <c r="B221" s="12" t="n">
        <v>2026</v>
      </c>
      <c r="C221" s="13" t="s">
        <v>11</v>
      </c>
      <c r="D221" s="12" t="s">
        <v>19</v>
      </c>
      <c r="E221" s="13" t="s">
        <v>261</v>
      </c>
      <c r="F221" s="14" t="n">
        <v>18000</v>
      </c>
      <c r="G221" s="14" t="n">
        <v>4700</v>
      </c>
      <c r="H221" s="14" t="n">
        <v>8900</v>
      </c>
    </row>
    <row r="222" customFormat="false" ht="15" hidden="false" customHeight="false" outlineLevel="0" collapsed="false">
      <c r="A222" s="12" t="s">
        <v>4</v>
      </c>
      <c r="B222" s="12" t="n">
        <v>2026</v>
      </c>
      <c r="C222" s="13" t="s">
        <v>11</v>
      </c>
      <c r="D222" s="12" t="s">
        <v>19</v>
      </c>
      <c r="E222" s="13" t="s">
        <v>262</v>
      </c>
      <c r="F222" s="14" t="n">
        <v>14100</v>
      </c>
      <c r="G222" s="14" t="n">
        <v>4300</v>
      </c>
      <c r="H222" s="14" t="n">
        <v>10300</v>
      </c>
    </row>
    <row r="223" customFormat="false" ht="15" hidden="false" customHeight="false" outlineLevel="0" collapsed="false">
      <c r="A223" s="12" t="s">
        <v>4</v>
      </c>
      <c r="B223" s="12" t="n">
        <v>2026</v>
      </c>
      <c r="C223" s="13" t="s">
        <v>11</v>
      </c>
      <c r="D223" s="12" t="s">
        <v>19</v>
      </c>
      <c r="E223" s="13" t="s">
        <v>263</v>
      </c>
      <c r="F223" s="14" t="n">
        <v>16300</v>
      </c>
      <c r="G223" s="14" t="n">
        <v>3700</v>
      </c>
      <c r="H223" s="14" t="n">
        <v>10400</v>
      </c>
    </row>
    <row r="224" customFormat="false" ht="15" hidden="false" customHeight="false" outlineLevel="0" collapsed="false">
      <c r="A224" s="12" t="s">
        <v>4</v>
      </c>
      <c r="B224" s="12" t="n">
        <v>2026</v>
      </c>
      <c r="C224" s="13" t="s">
        <v>11</v>
      </c>
      <c r="D224" s="12" t="s">
        <v>19</v>
      </c>
      <c r="E224" s="13" t="s">
        <v>264</v>
      </c>
      <c r="F224" s="14" t="n">
        <v>13700</v>
      </c>
      <c r="G224" s="14" t="n">
        <v>3800</v>
      </c>
      <c r="H224" s="14" t="n">
        <v>10000</v>
      </c>
    </row>
    <row r="225" customFormat="false" ht="15" hidden="false" customHeight="false" outlineLevel="0" collapsed="false">
      <c r="A225" s="12" t="s">
        <v>4</v>
      </c>
      <c r="B225" s="12" t="n">
        <v>2026</v>
      </c>
      <c r="C225" s="13" t="s">
        <v>11</v>
      </c>
      <c r="D225" s="12" t="s">
        <v>19</v>
      </c>
      <c r="E225" s="13" t="s">
        <v>265</v>
      </c>
      <c r="F225" s="14" t="n">
        <v>20200</v>
      </c>
      <c r="G225" s="14" t="n">
        <v>4600</v>
      </c>
      <c r="H225" s="14" t="n">
        <v>11200</v>
      </c>
    </row>
    <row r="226" customFormat="false" ht="15" hidden="false" customHeight="false" outlineLevel="0" collapsed="false">
      <c r="A226" s="12" t="s">
        <v>4</v>
      </c>
      <c r="B226" s="12" t="n">
        <v>2026</v>
      </c>
      <c r="C226" s="13" t="s">
        <v>11</v>
      </c>
      <c r="D226" s="12" t="s">
        <v>19</v>
      </c>
      <c r="E226" s="13" t="s">
        <v>266</v>
      </c>
      <c r="F226" s="14" t="n">
        <v>16900</v>
      </c>
      <c r="G226" s="14" t="n">
        <v>3700</v>
      </c>
      <c r="H226" s="14" t="n">
        <v>9300</v>
      </c>
    </row>
    <row r="227" customFormat="false" ht="15" hidden="false" customHeight="false" outlineLevel="0" collapsed="false">
      <c r="A227" s="12" t="s">
        <v>4</v>
      </c>
      <c r="B227" s="12" t="n">
        <v>2026</v>
      </c>
      <c r="C227" s="13" t="s">
        <v>11</v>
      </c>
      <c r="D227" s="12" t="s">
        <v>19</v>
      </c>
      <c r="E227" s="13" t="s">
        <v>267</v>
      </c>
      <c r="F227" s="14" t="n">
        <v>20200</v>
      </c>
      <c r="G227" s="14" t="n">
        <v>4700</v>
      </c>
      <c r="H227" s="14" t="n">
        <v>9500</v>
      </c>
    </row>
    <row r="228" customFormat="false" ht="15" hidden="false" customHeight="false" outlineLevel="0" collapsed="false">
      <c r="A228" s="12" t="s">
        <v>4</v>
      </c>
      <c r="B228" s="12" t="n">
        <v>2026</v>
      </c>
      <c r="C228" s="13" t="s">
        <v>11</v>
      </c>
      <c r="D228" s="12" t="s">
        <v>21</v>
      </c>
      <c r="E228" s="13" t="s">
        <v>268</v>
      </c>
      <c r="F228" s="14" t="n">
        <v>12800</v>
      </c>
      <c r="G228" s="14" t="n">
        <v>4400</v>
      </c>
      <c r="H228" s="14" t="n">
        <v>9400</v>
      </c>
    </row>
    <row r="229" customFormat="false" ht="15" hidden="false" customHeight="false" outlineLevel="0" collapsed="false">
      <c r="A229" s="12" t="s">
        <v>4</v>
      </c>
      <c r="B229" s="12" t="n">
        <v>2026</v>
      </c>
      <c r="C229" s="13" t="s">
        <v>11</v>
      </c>
      <c r="D229" s="12" t="s">
        <v>21</v>
      </c>
      <c r="E229" s="13" t="s">
        <v>269</v>
      </c>
      <c r="F229" s="14" t="n">
        <v>12200</v>
      </c>
      <c r="G229" s="14" t="n">
        <v>3200</v>
      </c>
      <c r="H229" s="14" t="n">
        <v>8800</v>
      </c>
    </row>
    <row r="230" customFormat="false" ht="15" hidden="false" customHeight="false" outlineLevel="0" collapsed="false">
      <c r="A230" s="12" t="s">
        <v>4</v>
      </c>
      <c r="B230" s="12" t="n">
        <v>2026</v>
      </c>
      <c r="C230" s="13" t="s">
        <v>11</v>
      </c>
      <c r="D230" s="12" t="s">
        <v>21</v>
      </c>
      <c r="E230" s="13" t="s">
        <v>270</v>
      </c>
      <c r="F230" s="14" t="n">
        <v>13900</v>
      </c>
      <c r="G230" s="14" t="n">
        <v>3600</v>
      </c>
      <c r="H230" s="14" t="n">
        <v>9500</v>
      </c>
    </row>
    <row r="231" customFormat="false" ht="15" hidden="false" customHeight="false" outlineLevel="0" collapsed="false">
      <c r="A231" s="12" t="s">
        <v>4</v>
      </c>
      <c r="B231" s="12" t="n">
        <v>2026</v>
      </c>
      <c r="C231" s="13" t="s">
        <v>11</v>
      </c>
      <c r="D231" s="12" t="s">
        <v>21</v>
      </c>
      <c r="E231" s="13" t="s">
        <v>271</v>
      </c>
      <c r="F231" s="14" t="n">
        <v>15900</v>
      </c>
      <c r="G231" s="14" t="n">
        <v>3400</v>
      </c>
      <c r="H231" s="14" t="n">
        <v>8700</v>
      </c>
    </row>
    <row r="232" customFormat="false" ht="15" hidden="false" customHeight="false" outlineLevel="0" collapsed="false">
      <c r="A232" s="12" t="s">
        <v>4</v>
      </c>
      <c r="B232" s="12" t="n">
        <v>2026</v>
      </c>
      <c r="C232" s="13" t="s">
        <v>11</v>
      </c>
      <c r="D232" s="12" t="s">
        <v>21</v>
      </c>
      <c r="E232" s="13" t="s">
        <v>272</v>
      </c>
      <c r="F232" s="14" t="n">
        <v>11700</v>
      </c>
      <c r="G232" s="14" t="n">
        <v>3300</v>
      </c>
      <c r="H232" s="14" t="n">
        <v>9900</v>
      </c>
    </row>
    <row r="233" customFormat="false" ht="15" hidden="false" customHeight="false" outlineLevel="0" collapsed="false">
      <c r="A233" s="12" t="s">
        <v>4</v>
      </c>
      <c r="B233" s="12" t="n">
        <v>2026</v>
      </c>
      <c r="C233" s="13" t="s">
        <v>11</v>
      </c>
      <c r="D233" s="12" t="s">
        <v>21</v>
      </c>
      <c r="E233" s="13" t="s">
        <v>273</v>
      </c>
      <c r="F233" s="14" t="n">
        <v>12100</v>
      </c>
      <c r="G233" s="14" t="n">
        <v>3600</v>
      </c>
      <c r="H233" s="14" t="n">
        <v>8200</v>
      </c>
    </row>
    <row r="234" customFormat="false" ht="15" hidden="false" customHeight="false" outlineLevel="0" collapsed="false">
      <c r="A234" s="12" t="s">
        <v>4</v>
      </c>
      <c r="B234" s="12" t="n">
        <v>2026</v>
      </c>
      <c r="C234" s="13" t="s">
        <v>11</v>
      </c>
      <c r="D234" s="12" t="s">
        <v>21</v>
      </c>
      <c r="E234" s="13" t="s">
        <v>274</v>
      </c>
      <c r="F234" s="14" t="n">
        <v>16200</v>
      </c>
      <c r="G234" s="14" t="n">
        <v>3100</v>
      </c>
      <c r="H234" s="14" t="n">
        <v>8900</v>
      </c>
    </row>
    <row r="235" customFormat="false" ht="15" hidden="false" customHeight="false" outlineLevel="0" collapsed="false">
      <c r="A235" s="12" t="s">
        <v>4</v>
      </c>
      <c r="B235" s="12" t="n">
        <v>2026</v>
      </c>
      <c r="C235" s="13" t="s">
        <v>11</v>
      </c>
      <c r="D235" s="12" t="s">
        <v>21</v>
      </c>
      <c r="E235" s="13" t="s">
        <v>275</v>
      </c>
      <c r="F235" s="14" t="n">
        <v>13300</v>
      </c>
      <c r="G235" s="14" t="n">
        <v>4400</v>
      </c>
      <c r="H235" s="14" t="n">
        <v>8000</v>
      </c>
    </row>
    <row r="236" customFormat="false" ht="15" hidden="false" customHeight="false" outlineLevel="0" collapsed="false">
      <c r="A236" s="12" t="s">
        <v>4</v>
      </c>
      <c r="B236" s="12" t="n">
        <v>2026</v>
      </c>
      <c r="C236" s="13" t="s">
        <v>11</v>
      </c>
      <c r="D236" s="12" t="s">
        <v>23</v>
      </c>
      <c r="E236" s="13" t="s">
        <v>276</v>
      </c>
      <c r="F236" s="14" t="n">
        <v>21900</v>
      </c>
      <c r="G236" s="14" t="n">
        <v>4100</v>
      </c>
      <c r="H236" s="14" t="n">
        <v>12600</v>
      </c>
    </row>
    <row r="237" customFormat="false" ht="15" hidden="false" customHeight="false" outlineLevel="0" collapsed="false">
      <c r="A237" s="12" t="s">
        <v>4</v>
      </c>
      <c r="B237" s="12" t="n">
        <v>2026</v>
      </c>
      <c r="C237" s="13" t="s">
        <v>11</v>
      </c>
      <c r="D237" s="12" t="s">
        <v>23</v>
      </c>
      <c r="E237" s="13" t="s">
        <v>277</v>
      </c>
      <c r="F237" s="14" t="n">
        <v>21200</v>
      </c>
      <c r="G237" s="14" t="n">
        <v>5300</v>
      </c>
      <c r="H237" s="14" t="n">
        <v>15600</v>
      </c>
    </row>
    <row r="238" customFormat="false" ht="15" hidden="false" customHeight="false" outlineLevel="0" collapsed="false">
      <c r="A238" s="12" t="s">
        <v>4</v>
      </c>
      <c r="B238" s="12" t="n">
        <v>2026</v>
      </c>
      <c r="C238" s="13" t="s">
        <v>11</v>
      </c>
      <c r="D238" s="12" t="s">
        <v>23</v>
      </c>
      <c r="E238" s="13" t="s">
        <v>278</v>
      </c>
      <c r="F238" s="14" t="n">
        <v>18800</v>
      </c>
      <c r="G238" s="14" t="n">
        <v>4600</v>
      </c>
      <c r="H238" s="14" t="n">
        <v>12600</v>
      </c>
    </row>
    <row r="239" customFormat="false" ht="15" hidden="false" customHeight="false" outlineLevel="0" collapsed="false">
      <c r="A239" s="12" t="s">
        <v>4</v>
      </c>
      <c r="B239" s="12" t="n">
        <v>2026</v>
      </c>
      <c r="C239" s="13" t="s">
        <v>11</v>
      </c>
      <c r="D239" s="12" t="s">
        <v>23</v>
      </c>
      <c r="E239" s="13" t="s">
        <v>279</v>
      </c>
      <c r="F239" s="14" t="n">
        <v>26100</v>
      </c>
      <c r="G239" s="14" t="n">
        <v>4000</v>
      </c>
      <c r="H239" s="14" t="n">
        <v>11900</v>
      </c>
    </row>
    <row r="240" customFormat="false" ht="15" hidden="false" customHeight="false" outlineLevel="0" collapsed="false">
      <c r="A240" s="12" t="s">
        <v>4</v>
      </c>
      <c r="B240" s="12" t="n">
        <v>2026</v>
      </c>
      <c r="C240" s="13" t="s">
        <v>11</v>
      </c>
      <c r="D240" s="12" t="s">
        <v>23</v>
      </c>
      <c r="E240" s="13" t="s">
        <v>280</v>
      </c>
      <c r="F240" s="14" t="n">
        <v>18100</v>
      </c>
      <c r="G240" s="14" t="n">
        <v>4600</v>
      </c>
      <c r="H240" s="14" t="n">
        <v>15400</v>
      </c>
    </row>
    <row r="241" customFormat="false" ht="15" hidden="false" customHeight="false" outlineLevel="0" collapsed="false">
      <c r="A241" s="12" t="s">
        <v>4</v>
      </c>
      <c r="B241" s="12" t="n">
        <v>2026</v>
      </c>
      <c r="C241" s="13" t="s">
        <v>11</v>
      </c>
      <c r="D241" s="12" t="s">
        <v>23</v>
      </c>
      <c r="E241" s="13" t="s">
        <v>281</v>
      </c>
      <c r="F241" s="14" t="n">
        <v>25300</v>
      </c>
      <c r="G241" s="14" t="n">
        <v>5400</v>
      </c>
      <c r="H241" s="14" t="n">
        <v>15800</v>
      </c>
    </row>
    <row r="242" customFormat="false" ht="15" hidden="false" customHeight="false" outlineLevel="0" collapsed="false">
      <c r="A242" s="12" t="s">
        <v>4</v>
      </c>
      <c r="B242" s="12" t="n">
        <v>2026</v>
      </c>
      <c r="C242" s="13" t="s">
        <v>11</v>
      </c>
      <c r="D242" s="12" t="s">
        <v>23</v>
      </c>
      <c r="E242" s="13" t="s">
        <v>282</v>
      </c>
      <c r="F242" s="14" t="n">
        <v>25700</v>
      </c>
      <c r="G242" s="14" t="n">
        <v>4500</v>
      </c>
      <c r="H242" s="14" t="n">
        <v>12500</v>
      </c>
    </row>
    <row r="243" customFormat="false" ht="15" hidden="false" customHeight="false" outlineLevel="0" collapsed="false">
      <c r="A243" s="12" t="s">
        <v>4</v>
      </c>
      <c r="B243" s="12" t="n">
        <v>2026</v>
      </c>
      <c r="C243" s="13" t="s">
        <v>11</v>
      </c>
      <c r="D243" s="12" t="s">
        <v>23</v>
      </c>
      <c r="E243" s="13" t="s">
        <v>283</v>
      </c>
      <c r="F243" s="14" t="n">
        <v>25800</v>
      </c>
      <c r="G243" s="14" t="n">
        <v>5500</v>
      </c>
      <c r="H243" s="14" t="n">
        <v>11800</v>
      </c>
    </row>
    <row r="244" customFormat="false" ht="15" hidden="false" customHeight="false" outlineLevel="0" collapsed="false">
      <c r="A244" s="12" t="s">
        <v>4</v>
      </c>
      <c r="B244" s="12" t="n">
        <v>2026</v>
      </c>
      <c r="C244" s="13" t="s">
        <v>11</v>
      </c>
      <c r="D244" s="12" t="s">
        <v>23</v>
      </c>
      <c r="E244" s="13" t="s">
        <v>284</v>
      </c>
      <c r="F244" s="14" t="n">
        <v>23400</v>
      </c>
      <c r="G244" s="14" t="n">
        <v>4600</v>
      </c>
      <c r="H244" s="14" t="n">
        <v>13300</v>
      </c>
    </row>
    <row r="245" customFormat="false" ht="15" hidden="false" customHeight="false" outlineLevel="0" collapsed="false">
      <c r="A245" s="12" t="s">
        <v>4</v>
      </c>
      <c r="B245" s="12" t="n">
        <v>2026</v>
      </c>
      <c r="C245" s="13" t="s">
        <v>11</v>
      </c>
      <c r="D245" s="12" t="s">
        <v>23</v>
      </c>
      <c r="E245" s="13" t="s">
        <v>285</v>
      </c>
      <c r="F245" s="14" t="n">
        <v>20500</v>
      </c>
      <c r="G245" s="14" t="n">
        <v>4100</v>
      </c>
      <c r="H245" s="14" t="n">
        <v>11700</v>
      </c>
    </row>
    <row r="246" customFormat="false" ht="15" hidden="false" customHeight="false" outlineLevel="0" collapsed="false">
      <c r="A246" s="12" t="s">
        <v>4</v>
      </c>
      <c r="B246" s="12" t="n">
        <v>2026</v>
      </c>
      <c r="C246" s="13" t="s">
        <v>11</v>
      </c>
      <c r="D246" s="12" t="s">
        <v>23</v>
      </c>
      <c r="E246" s="13" t="s">
        <v>286</v>
      </c>
      <c r="F246" s="14" t="n">
        <v>20000</v>
      </c>
      <c r="G246" s="14" t="n">
        <v>4500</v>
      </c>
      <c r="H246" s="14" t="n">
        <v>15700</v>
      </c>
    </row>
    <row r="247" customFormat="false" ht="15" hidden="false" customHeight="false" outlineLevel="0" collapsed="false">
      <c r="A247" s="12" t="s">
        <v>4</v>
      </c>
      <c r="B247" s="12" t="n">
        <v>2026</v>
      </c>
      <c r="C247" s="13" t="s">
        <v>11</v>
      </c>
      <c r="D247" s="12" t="s">
        <v>23</v>
      </c>
      <c r="E247" s="13" t="s">
        <v>287</v>
      </c>
      <c r="F247" s="14" t="n">
        <v>18600</v>
      </c>
      <c r="G247" s="14" t="n">
        <v>6000</v>
      </c>
      <c r="H247" s="14" t="n">
        <v>12600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 count="1">
    <tablePart r:id="rIdTbl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9.4" hidden="false" customHeight="false" outlineLevel="0" collapsed="false">
      <c r="A1" s="3" t="s">
        <v>288</v>
      </c>
    </row>
    <row r="4" customFormat="false" ht="15" hidden="false" customHeight="false" outlineLevel="0" collapsed="false">
      <c r="A4" s="16" t="s">
        <v>289</v>
      </c>
    </row>
    <row r="5" customFormat="false" ht="15" hidden="false" customHeight="false" outlineLevel="0" collapsed="false">
      <c r="A5" s="17" t="s">
        <v>3</v>
      </c>
      <c r="B5" s="18" t="s">
        <v>290</v>
      </c>
    </row>
    <row r="7" customFormat="false" ht="15" hidden="false" customHeight="false" outlineLevel="0" collapsed="false">
      <c r="A7" s="19"/>
      <c r="B7" s="20"/>
      <c r="C7" s="21"/>
      <c r="D7" s="22" t="s">
        <v>291</v>
      </c>
      <c r="E7" s="23"/>
      <c r="F7" s="24"/>
    </row>
    <row r="8" customFormat="false" ht="15" hidden="false" customHeight="false" outlineLevel="0" collapsed="false">
      <c r="A8" s="25" t="s">
        <v>30</v>
      </c>
      <c r="B8" s="26" t="s">
        <v>31</v>
      </c>
      <c r="C8" s="26" t="s">
        <v>32</v>
      </c>
      <c r="D8" s="27" t="s">
        <v>292</v>
      </c>
      <c r="E8" s="28" t="s">
        <v>293</v>
      </c>
      <c r="F8" s="29" t="s">
        <v>294</v>
      </c>
    </row>
    <row r="9" customFormat="false" ht="15" hidden="false" customHeight="false" outlineLevel="0" collapsed="false">
      <c r="A9" s="30" t="n">
        <v>2025</v>
      </c>
      <c r="B9" s="31" t="s">
        <v>11</v>
      </c>
      <c r="C9" s="32" t="s">
        <v>15</v>
      </c>
      <c r="D9" s="33" t="n">
        <v>23683.3333333333</v>
      </c>
      <c r="E9" s="34" t="n">
        <v>3733.33333333333</v>
      </c>
      <c r="F9" s="35" t="n">
        <v>11575</v>
      </c>
    </row>
    <row r="10" customFormat="false" ht="15" hidden="false" customHeight="false" outlineLevel="0" collapsed="false">
      <c r="A10" s="36"/>
      <c r="B10" s="37"/>
      <c r="C10" s="38" t="s">
        <v>17</v>
      </c>
      <c r="D10" s="39" t="n">
        <v>13011.1111111111</v>
      </c>
      <c r="E10" s="40" t="n">
        <v>2977.77777777778</v>
      </c>
      <c r="F10" s="41" t="n">
        <v>7966.66666666667</v>
      </c>
    </row>
    <row r="11" customFormat="false" ht="15" hidden="false" customHeight="false" outlineLevel="0" collapsed="false">
      <c r="A11" s="36"/>
      <c r="B11" s="37"/>
      <c r="C11" s="38" t="s">
        <v>21</v>
      </c>
      <c r="D11" s="39" t="n">
        <v>14037.5</v>
      </c>
      <c r="E11" s="40" t="n">
        <v>3212.5</v>
      </c>
      <c r="F11" s="41" t="n">
        <v>8450</v>
      </c>
    </row>
    <row r="12" customFormat="false" ht="15" hidden="false" customHeight="false" outlineLevel="0" collapsed="false">
      <c r="A12" s="36"/>
      <c r="B12" s="37"/>
      <c r="C12" s="38" t="s">
        <v>13</v>
      </c>
      <c r="D12" s="39" t="n">
        <v>57677.7777777778</v>
      </c>
      <c r="E12" s="40" t="n">
        <v>11811.1111111111</v>
      </c>
      <c r="F12" s="41" t="n">
        <v>26966.6666666667</v>
      </c>
    </row>
    <row r="13" customFormat="false" ht="15" hidden="false" customHeight="false" outlineLevel="0" collapsed="false">
      <c r="A13" s="36"/>
      <c r="B13" s="37"/>
      <c r="C13" s="38" t="s">
        <v>23</v>
      </c>
      <c r="D13" s="39" t="n">
        <v>21408.3333333333</v>
      </c>
      <c r="E13" s="40" t="n">
        <v>4233.33333333333</v>
      </c>
      <c r="F13" s="41" t="n">
        <v>12758.3333333333</v>
      </c>
    </row>
    <row r="14" customFormat="false" ht="15" hidden="false" customHeight="false" outlineLevel="0" collapsed="false">
      <c r="A14" s="36"/>
      <c r="B14" s="42"/>
      <c r="C14" s="43" t="s">
        <v>19</v>
      </c>
      <c r="D14" s="44" t="n">
        <v>16110</v>
      </c>
      <c r="E14" s="45" t="n">
        <v>4120</v>
      </c>
      <c r="F14" s="46" t="n">
        <v>9230</v>
      </c>
    </row>
    <row r="15" customFormat="false" ht="15" hidden="false" customHeight="false" outlineLevel="0" collapsed="false">
      <c r="A15" s="36"/>
      <c r="B15" s="31" t="s">
        <v>9</v>
      </c>
      <c r="C15" s="32" t="s">
        <v>15</v>
      </c>
      <c r="D15" s="33" t="n">
        <v>17233.3333333333</v>
      </c>
      <c r="E15" s="34" t="n">
        <v>2522.22222222222</v>
      </c>
      <c r="F15" s="35" t="n">
        <v>11933.3333333333</v>
      </c>
    </row>
    <row r="16" customFormat="false" ht="15" hidden="false" customHeight="false" outlineLevel="0" collapsed="false">
      <c r="A16" s="36"/>
      <c r="B16" s="37"/>
      <c r="C16" s="38" t="s">
        <v>17</v>
      </c>
      <c r="D16" s="39" t="n">
        <v>9666.66666666667</v>
      </c>
      <c r="E16" s="40" t="n">
        <v>2158.33333333333</v>
      </c>
      <c r="F16" s="41" t="n">
        <v>7858.33333333333</v>
      </c>
    </row>
    <row r="17" customFormat="false" ht="15" hidden="false" customHeight="false" outlineLevel="0" collapsed="false">
      <c r="A17" s="36"/>
      <c r="B17" s="37"/>
      <c r="C17" s="38" t="s">
        <v>21</v>
      </c>
      <c r="D17" s="39" t="n">
        <v>10050</v>
      </c>
      <c r="E17" s="40" t="n">
        <v>2433.33333333333</v>
      </c>
      <c r="F17" s="41" t="n">
        <v>8000</v>
      </c>
    </row>
    <row r="18" customFormat="false" ht="15" hidden="false" customHeight="false" outlineLevel="0" collapsed="false">
      <c r="A18" s="36"/>
      <c r="B18" s="37"/>
      <c r="C18" s="38" t="s">
        <v>13</v>
      </c>
      <c r="D18" s="39" t="n">
        <v>46230</v>
      </c>
      <c r="E18" s="40" t="n">
        <v>6860</v>
      </c>
      <c r="F18" s="41" t="n">
        <v>27200</v>
      </c>
    </row>
    <row r="19" customFormat="false" ht="15" hidden="false" customHeight="false" outlineLevel="0" collapsed="false">
      <c r="A19" s="36"/>
      <c r="B19" s="37"/>
      <c r="C19" s="38" t="s">
        <v>23</v>
      </c>
      <c r="D19" s="39" t="n">
        <v>15755.5555555556</v>
      </c>
      <c r="E19" s="40" t="n">
        <v>3400</v>
      </c>
      <c r="F19" s="41" t="n">
        <v>13166.6666666667</v>
      </c>
    </row>
    <row r="20" customFormat="false" ht="15" hidden="false" customHeight="false" outlineLevel="0" collapsed="false">
      <c r="A20" s="47"/>
      <c r="B20" s="42"/>
      <c r="C20" s="43" t="s">
        <v>19</v>
      </c>
      <c r="D20" s="44" t="n">
        <v>12236.3636363636</v>
      </c>
      <c r="E20" s="45" t="n">
        <v>2954.54545454545</v>
      </c>
      <c r="F20" s="46" t="n">
        <v>9272.72727272727</v>
      </c>
    </row>
    <row r="21" customFormat="false" ht="15" hidden="false" customHeight="false" outlineLevel="0" collapsed="false">
      <c r="A21" s="30" t="n">
        <v>2026</v>
      </c>
      <c r="B21" s="31" t="s">
        <v>11</v>
      </c>
      <c r="C21" s="32" t="s">
        <v>15</v>
      </c>
      <c r="D21" s="33" t="n">
        <v>24177.7777777778</v>
      </c>
      <c r="E21" s="34" t="n">
        <v>3666.66666666667</v>
      </c>
      <c r="F21" s="35" t="n">
        <v>13000</v>
      </c>
    </row>
    <row r="22" customFormat="false" ht="15" hidden="false" customHeight="false" outlineLevel="0" collapsed="false">
      <c r="A22" s="36"/>
      <c r="B22" s="37"/>
      <c r="C22" s="38" t="s">
        <v>17</v>
      </c>
      <c r="D22" s="39" t="n">
        <v>13450</v>
      </c>
      <c r="E22" s="40" t="n">
        <v>3200</v>
      </c>
      <c r="F22" s="41" t="n">
        <v>8662.5</v>
      </c>
    </row>
    <row r="23" customFormat="false" ht="15" hidden="false" customHeight="false" outlineLevel="0" collapsed="false">
      <c r="A23" s="36"/>
      <c r="B23" s="37"/>
      <c r="C23" s="38" t="s">
        <v>21</v>
      </c>
      <c r="D23" s="39" t="n">
        <v>13512.5</v>
      </c>
      <c r="E23" s="40" t="n">
        <v>3625</v>
      </c>
      <c r="F23" s="41" t="n">
        <v>8925</v>
      </c>
    </row>
    <row r="24" customFormat="false" ht="15" hidden="false" customHeight="false" outlineLevel="0" collapsed="false">
      <c r="A24" s="36"/>
      <c r="B24" s="37"/>
      <c r="C24" s="38" t="s">
        <v>13</v>
      </c>
      <c r="D24" s="39" t="n">
        <v>62854.5454545455</v>
      </c>
      <c r="E24" s="40" t="n">
        <v>10690.9090909091</v>
      </c>
      <c r="F24" s="41" t="n">
        <v>30563.6363636364</v>
      </c>
    </row>
    <row r="25" customFormat="false" ht="15" hidden="false" customHeight="false" outlineLevel="0" collapsed="false">
      <c r="A25" s="36"/>
      <c r="B25" s="37"/>
      <c r="C25" s="38" t="s">
        <v>23</v>
      </c>
      <c r="D25" s="39" t="n">
        <v>22116.6666666667</v>
      </c>
      <c r="E25" s="40" t="n">
        <v>4766.66666666667</v>
      </c>
      <c r="F25" s="41" t="n">
        <v>13458.3333333333</v>
      </c>
    </row>
    <row r="26" customFormat="false" ht="15" hidden="false" customHeight="false" outlineLevel="0" collapsed="false">
      <c r="A26" s="36"/>
      <c r="B26" s="42"/>
      <c r="C26" s="43" t="s">
        <v>19</v>
      </c>
      <c r="D26" s="44" t="n">
        <v>16700</v>
      </c>
      <c r="E26" s="45" t="n">
        <v>4244.44444444444</v>
      </c>
      <c r="F26" s="46" t="n">
        <v>9933.33333333333</v>
      </c>
    </row>
    <row r="27" customFormat="false" ht="15" hidden="false" customHeight="false" outlineLevel="0" collapsed="false">
      <c r="A27" s="36"/>
      <c r="B27" s="31" t="s">
        <v>9</v>
      </c>
      <c r="C27" s="32" t="s">
        <v>15</v>
      </c>
      <c r="D27" s="33" t="n">
        <v>18700</v>
      </c>
      <c r="E27" s="34" t="n">
        <v>2640</v>
      </c>
      <c r="F27" s="35" t="n">
        <v>12130</v>
      </c>
    </row>
    <row r="28" customFormat="false" ht="15" hidden="false" customHeight="false" outlineLevel="0" collapsed="false">
      <c r="A28" s="36"/>
      <c r="B28" s="37"/>
      <c r="C28" s="38" t="s">
        <v>17</v>
      </c>
      <c r="D28" s="39" t="n">
        <v>10241.6666666667</v>
      </c>
      <c r="E28" s="40" t="n">
        <v>2158.33333333333</v>
      </c>
      <c r="F28" s="41" t="n">
        <v>8833.33333333333</v>
      </c>
    </row>
    <row r="29" customFormat="false" ht="15" hidden="false" customHeight="false" outlineLevel="0" collapsed="false">
      <c r="A29" s="36"/>
      <c r="B29" s="37"/>
      <c r="C29" s="38" t="s">
        <v>21</v>
      </c>
      <c r="D29" s="39" t="n">
        <v>10275</v>
      </c>
      <c r="E29" s="40" t="n">
        <v>2708.33333333333</v>
      </c>
      <c r="F29" s="41" t="n">
        <v>9258.33333333333</v>
      </c>
    </row>
    <row r="30" customFormat="false" ht="15" hidden="false" customHeight="false" outlineLevel="0" collapsed="false">
      <c r="A30" s="36"/>
      <c r="B30" s="37"/>
      <c r="C30" s="38" t="s">
        <v>13</v>
      </c>
      <c r="D30" s="39" t="n">
        <v>46608.3333333333</v>
      </c>
      <c r="E30" s="40" t="n">
        <v>7625</v>
      </c>
      <c r="F30" s="41" t="n">
        <v>29891.6666666667</v>
      </c>
    </row>
    <row r="31" customFormat="false" ht="15" hidden="false" customHeight="false" outlineLevel="0" collapsed="false">
      <c r="A31" s="36"/>
      <c r="B31" s="37"/>
      <c r="C31" s="38" t="s">
        <v>23</v>
      </c>
      <c r="D31" s="39" t="n">
        <v>17150</v>
      </c>
      <c r="E31" s="40" t="n">
        <v>3412.5</v>
      </c>
      <c r="F31" s="41" t="n">
        <v>13475</v>
      </c>
    </row>
    <row r="32" customFormat="false" ht="15" hidden="false" customHeight="false" outlineLevel="0" collapsed="false">
      <c r="A32" s="47"/>
      <c r="B32" s="42"/>
      <c r="C32" s="43" t="s">
        <v>19</v>
      </c>
      <c r="D32" s="44" t="n">
        <v>12870</v>
      </c>
      <c r="E32" s="45" t="n">
        <v>3170</v>
      </c>
      <c r="F32" s="46" t="n">
        <v>9890</v>
      </c>
    </row>
    <row r="33" customFormat="false" ht="15" hidden="false" customHeight="false" outlineLevel="0" collapsed="false">
      <c r="A33" s="48" t="s">
        <v>295</v>
      </c>
      <c r="B33" s="49"/>
      <c r="C33" s="50"/>
      <c r="D33" s="51" t="n">
        <v>22048.7704918033</v>
      </c>
      <c r="E33" s="52" t="n">
        <v>4266.39344262295</v>
      </c>
      <c r="F33" s="53" t="n">
        <v>13545.4918032787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9" min="6" style="0" width="12"/>
    <col collapsed="false" customWidth="true" hidden="false" outlineLevel="0" max="12" min="10" style="0" width="11"/>
  </cols>
  <sheetData>
    <row r="1" customFormat="false" ht="19.4" hidden="false" customHeight="false" outlineLevel="0" collapsed="false">
      <c r="A1" s="3" t="s">
        <v>296</v>
      </c>
    </row>
    <row r="2" customFormat="false" ht="15" hidden="false" customHeight="false" outlineLevel="0" collapsed="false">
      <c r="A2" s="2" t="str">
        <f aca="false">"브랜드: "&amp;설정!$C$4&amp;"   |   단위: 원 (스타일 평균)"</f>
        <v>브랜드: 브랜드A   |   단위: 원 (스타일 평균)</v>
      </c>
    </row>
    <row r="4" customFormat="false" ht="15" hidden="false" customHeight="false" outlineLevel="0" collapsed="false">
      <c r="A4" s="10" t="s">
        <v>30</v>
      </c>
      <c r="B4" s="10" t="s">
        <v>31</v>
      </c>
      <c r="C4" s="10" t="s">
        <v>297</v>
      </c>
      <c r="D4" s="10" t="s">
        <v>32</v>
      </c>
      <c r="E4" s="10" t="s">
        <v>298</v>
      </c>
      <c r="F4" s="10" t="s">
        <v>34</v>
      </c>
      <c r="G4" s="10" t="s">
        <v>35</v>
      </c>
      <c r="H4" s="10" t="s">
        <v>36</v>
      </c>
      <c r="I4" s="10" t="s">
        <v>299</v>
      </c>
      <c r="J4" s="10" t="s">
        <v>300</v>
      </c>
      <c r="K4" s="10" t="s">
        <v>301</v>
      </c>
      <c r="L4" s="10" t="s">
        <v>302</v>
      </c>
    </row>
    <row r="5" customFormat="false" ht="15" hidden="false" customHeight="false" outlineLevel="0" collapsed="false">
      <c r="A5" s="54" t="n">
        <f aca="false">설정!$C$5</f>
        <v>2025</v>
      </c>
      <c r="B5" s="54" t="str">
        <f aca="false">설정!$C$7</f>
        <v>SS</v>
      </c>
      <c r="C5" s="54" t="str">
        <f aca="false">A5&amp;" "&amp;B5</f>
        <v>2025 SS</v>
      </c>
      <c r="D5" s="54" t="str">
        <f aca="false">설정!$C$9</f>
        <v>아우터</v>
      </c>
      <c r="E5" s="54" t="n">
        <f aca="false">COUNTIFS(RawData!$A:$A,설정!$C$4,RawData!$B:$B,$A5,RawData!$C:$C,$B5,RawData!$D:$D,$D5)</f>
        <v>10</v>
      </c>
      <c r="F5" s="55" t="n">
        <f aca="false">IFERROR(AVERAGEIFS(RawData!$F:$F,RawData!$A:$A,설정!$C$4,RawData!$B:$B,$A5,RawData!$C:$C,$B5,RawData!$D:$D,$D5),0)</f>
        <v>46230</v>
      </c>
      <c r="G5" s="55" t="n">
        <f aca="false">IFERROR(AVERAGEIFS(RawData!$G:$G,RawData!$A:$A,설정!$C$4,RawData!$B:$B,$A5,RawData!$C:$C,$B5,RawData!$D:$D,$D5),0)</f>
        <v>6860</v>
      </c>
      <c r="H5" s="55" t="n">
        <f aca="false">IFERROR(AVERAGEIFS(RawData!$H:$H,RawData!$A:$A,설정!$C$4,RawData!$B:$B,$A5,RawData!$C:$C,$B5,RawData!$D:$D,$D5),0)</f>
        <v>27200</v>
      </c>
      <c r="I5" s="55" t="n">
        <f aca="false">SUM(F5:H5)</f>
        <v>80290</v>
      </c>
      <c r="J5" s="56" t="n">
        <f aca="false">IF($I5=0,0,F5/$I5)</f>
        <v>0.575787769336156</v>
      </c>
      <c r="K5" s="56" t="n">
        <f aca="false">IF($I5=0,0,G5/$I5)</f>
        <v>0.0854402789886661</v>
      </c>
      <c r="L5" s="56" t="n">
        <f aca="false">IF($I5=0,0,H5/$I5)</f>
        <v>0.338771951675178</v>
      </c>
    </row>
    <row r="6" customFormat="false" ht="15" hidden="false" customHeight="false" outlineLevel="0" collapsed="false">
      <c r="A6" s="54" t="n">
        <f aca="false">설정!$C$5</f>
        <v>2025</v>
      </c>
      <c r="B6" s="54" t="str">
        <f aca="false">설정!$C$7</f>
        <v>SS</v>
      </c>
      <c r="C6" s="54" t="str">
        <f aca="false">A6&amp;" "&amp;B6</f>
        <v>2025 SS</v>
      </c>
      <c r="D6" s="54" t="str">
        <f aca="false">설정!$C$10</f>
        <v>니트</v>
      </c>
      <c r="E6" s="54" t="n">
        <f aca="false">COUNTIFS(RawData!$A:$A,설정!$C$4,RawData!$B:$B,$A6,RawData!$C:$C,$B6,RawData!$D:$D,$D6)</f>
        <v>9</v>
      </c>
      <c r="F6" s="55" t="n">
        <f aca="false">IFERROR(AVERAGEIFS(RawData!$F:$F,RawData!$A:$A,설정!$C$4,RawData!$B:$B,$A6,RawData!$C:$C,$B6,RawData!$D:$D,$D6),0)</f>
        <v>17233.3333333333</v>
      </c>
      <c r="G6" s="55" t="n">
        <f aca="false">IFERROR(AVERAGEIFS(RawData!$G:$G,RawData!$A:$A,설정!$C$4,RawData!$B:$B,$A6,RawData!$C:$C,$B6,RawData!$D:$D,$D6),0)</f>
        <v>2522.22222222222</v>
      </c>
      <c r="H6" s="55" t="n">
        <f aca="false">IFERROR(AVERAGEIFS(RawData!$H:$H,RawData!$A:$A,설정!$C$4,RawData!$B:$B,$A6,RawData!$C:$C,$B6,RawData!$D:$D,$D6),0)</f>
        <v>11933.3333333333</v>
      </c>
      <c r="I6" s="55" t="n">
        <f aca="false">SUM(F6:H6)</f>
        <v>31688.8888888889</v>
      </c>
      <c r="J6" s="56" t="n">
        <f aca="false">IF($I6=0,0,F6/$I6)</f>
        <v>0.54382889200561</v>
      </c>
      <c r="K6" s="56" t="n">
        <f aca="false">IF($I6=0,0,G6/$I6)</f>
        <v>0.0795932678821879</v>
      </c>
      <c r="L6" s="56" t="n">
        <f aca="false">IF($I6=0,0,H6/$I6)</f>
        <v>0.376577840112202</v>
      </c>
    </row>
    <row r="7" customFormat="false" ht="15" hidden="false" customHeight="false" outlineLevel="0" collapsed="false">
      <c r="A7" s="54" t="n">
        <f aca="false">설정!$C$5</f>
        <v>2025</v>
      </c>
      <c r="B7" s="54" t="str">
        <f aca="false">설정!$C$7</f>
        <v>SS</v>
      </c>
      <c r="C7" s="54" t="str">
        <f aca="false">A7&amp;" "&amp;B7</f>
        <v>2025 SS</v>
      </c>
      <c r="D7" s="54" t="str">
        <f aca="false">설정!$C$11</f>
        <v>셔츠</v>
      </c>
      <c r="E7" s="54" t="n">
        <f aca="false">COUNTIFS(RawData!$A:$A,설정!$C$4,RawData!$B:$B,$A7,RawData!$C:$C,$B7,RawData!$D:$D,$D7)</f>
        <v>12</v>
      </c>
      <c r="F7" s="55" t="n">
        <f aca="false">IFERROR(AVERAGEIFS(RawData!$F:$F,RawData!$A:$A,설정!$C$4,RawData!$B:$B,$A7,RawData!$C:$C,$B7,RawData!$D:$D,$D7),0)</f>
        <v>9666.66666666667</v>
      </c>
      <c r="G7" s="55" t="n">
        <f aca="false">IFERROR(AVERAGEIFS(RawData!$G:$G,RawData!$A:$A,설정!$C$4,RawData!$B:$B,$A7,RawData!$C:$C,$B7,RawData!$D:$D,$D7),0)</f>
        <v>2158.33333333333</v>
      </c>
      <c r="H7" s="55" t="n">
        <f aca="false">IFERROR(AVERAGEIFS(RawData!$H:$H,RawData!$A:$A,설정!$C$4,RawData!$B:$B,$A7,RawData!$C:$C,$B7,RawData!$D:$D,$D7),0)</f>
        <v>7858.33333333333</v>
      </c>
      <c r="I7" s="55" t="n">
        <f aca="false">SUM(F7:H7)</f>
        <v>19683.3333333333</v>
      </c>
      <c r="J7" s="56" t="n">
        <f aca="false">IF($I7=0,0,F7/$I7)</f>
        <v>0.491109229466554</v>
      </c>
      <c r="K7" s="56" t="n">
        <f aca="false">IF($I7=0,0,G7/$I7)</f>
        <v>0.10965283657917</v>
      </c>
      <c r="L7" s="56" t="n">
        <f aca="false">IF($I7=0,0,H7/$I7)</f>
        <v>0.399237933954276</v>
      </c>
    </row>
    <row r="8" customFormat="false" ht="15" hidden="false" customHeight="false" outlineLevel="0" collapsed="false">
      <c r="A8" s="54" t="n">
        <f aca="false">설정!$C$5</f>
        <v>2025</v>
      </c>
      <c r="B8" s="54" t="str">
        <f aca="false">설정!$C$7</f>
        <v>SS</v>
      </c>
      <c r="C8" s="54" t="str">
        <f aca="false">A8&amp;" "&amp;B8</f>
        <v>2025 SS</v>
      </c>
      <c r="D8" s="54" t="str">
        <f aca="false">설정!$C$12</f>
        <v>팬츠</v>
      </c>
      <c r="E8" s="54" t="n">
        <f aca="false">COUNTIFS(RawData!$A:$A,설정!$C$4,RawData!$B:$B,$A8,RawData!$C:$C,$B8,RawData!$D:$D,$D8)</f>
        <v>11</v>
      </c>
      <c r="F8" s="55" t="n">
        <f aca="false">IFERROR(AVERAGEIFS(RawData!$F:$F,RawData!$A:$A,설정!$C$4,RawData!$B:$B,$A8,RawData!$C:$C,$B8,RawData!$D:$D,$D8),0)</f>
        <v>12236.3636363636</v>
      </c>
      <c r="G8" s="55" t="n">
        <f aca="false">IFERROR(AVERAGEIFS(RawData!$G:$G,RawData!$A:$A,설정!$C$4,RawData!$B:$B,$A8,RawData!$C:$C,$B8,RawData!$D:$D,$D8),0)</f>
        <v>2954.54545454545</v>
      </c>
      <c r="H8" s="55" t="n">
        <f aca="false">IFERROR(AVERAGEIFS(RawData!$H:$H,RawData!$A:$A,설정!$C$4,RawData!$B:$B,$A8,RawData!$C:$C,$B8,RawData!$D:$D,$D8),0)</f>
        <v>9272.72727272727</v>
      </c>
      <c r="I8" s="55" t="n">
        <f aca="false">SUM(F8:H8)</f>
        <v>24463.6363636364</v>
      </c>
      <c r="J8" s="56" t="n">
        <f aca="false">IF($I8=0,0,F8/$I8)</f>
        <v>0.500185804533631</v>
      </c>
      <c r="K8" s="56" t="n">
        <f aca="false">IF($I8=0,0,G8/$I8)</f>
        <v>0.120772946859903</v>
      </c>
      <c r="L8" s="56" t="n">
        <f aca="false">IF($I8=0,0,H8/$I8)</f>
        <v>0.379041248606466</v>
      </c>
    </row>
    <row r="9" customFormat="false" ht="15" hidden="false" customHeight="false" outlineLevel="0" collapsed="false">
      <c r="A9" s="54" t="n">
        <f aca="false">설정!$C$5</f>
        <v>2025</v>
      </c>
      <c r="B9" s="54" t="str">
        <f aca="false">설정!$C$7</f>
        <v>SS</v>
      </c>
      <c r="C9" s="54" t="str">
        <f aca="false">A9&amp;" "&amp;B9</f>
        <v>2025 SS</v>
      </c>
      <c r="D9" s="54" t="str">
        <f aca="false">설정!$C$13</f>
        <v>스커트</v>
      </c>
      <c r="E9" s="54" t="n">
        <f aca="false">COUNTIFS(RawData!$A:$A,설정!$C$4,RawData!$B:$B,$A9,RawData!$C:$C,$B9,RawData!$D:$D,$D9)</f>
        <v>12</v>
      </c>
      <c r="F9" s="55" t="n">
        <f aca="false">IFERROR(AVERAGEIFS(RawData!$F:$F,RawData!$A:$A,설정!$C$4,RawData!$B:$B,$A9,RawData!$C:$C,$B9,RawData!$D:$D,$D9),0)</f>
        <v>10050</v>
      </c>
      <c r="G9" s="55" t="n">
        <f aca="false">IFERROR(AVERAGEIFS(RawData!$G:$G,RawData!$A:$A,설정!$C$4,RawData!$B:$B,$A9,RawData!$C:$C,$B9,RawData!$D:$D,$D9),0)</f>
        <v>2433.33333333333</v>
      </c>
      <c r="H9" s="55" t="n">
        <f aca="false">IFERROR(AVERAGEIFS(RawData!$H:$H,RawData!$A:$A,설정!$C$4,RawData!$B:$B,$A9,RawData!$C:$C,$B9,RawData!$D:$D,$D9),0)</f>
        <v>8000</v>
      </c>
      <c r="I9" s="55" t="n">
        <f aca="false">SUM(F9:H9)</f>
        <v>20483.3333333333</v>
      </c>
      <c r="J9" s="56" t="n">
        <f aca="false">IF($I9=0,0,F9/$I9)</f>
        <v>0.490642799023596</v>
      </c>
      <c r="K9" s="56" t="n">
        <f aca="false">IF($I9=0,0,G9/$I9)</f>
        <v>0.118795768917819</v>
      </c>
      <c r="L9" s="56" t="n">
        <f aca="false">IF($I9=0,0,H9/$I9)</f>
        <v>0.390561432058584</v>
      </c>
    </row>
    <row r="10" customFormat="false" ht="15" hidden="false" customHeight="false" outlineLevel="0" collapsed="false">
      <c r="A10" s="54" t="n">
        <f aca="false">설정!$C$5</f>
        <v>2025</v>
      </c>
      <c r="B10" s="54" t="str">
        <f aca="false">설정!$C$7</f>
        <v>SS</v>
      </c>
      <c r="C10" s="54" t="str">
        <f aca="false">A10&amp;" "&amp;B10</f>
        <v>2025 SS</v>
      </c>
      <c r="D10" s="54" t="str">
        <f aca="false">설정!$C$14</f>
        <v>원피스</v>
      </c>
      <c r="E10" s="54" t="n">
        <f aca="false">COUNTIFS(RawData!$A:$A,설정!$C$4,RawData!$B:$B,$A10,RawData!$C:$C,$B10,RawData!$D:$D,$D10)</f>
        <v>9</v>
      </c>
      <c r="F10" s="55" t="n">
        <f aca="false">IFERROR(AVERAGEIFS(RawData!$F:$F,RawData!$A:$A,설정!$C$4,RawData!$B:$B,$A10,RawData!$C:$C,$B10,RawData!$D:$D,$D10),0)</f>
        <v>15755.5555555556</v>
      </c>
      <c r="G10" s="55" t="n">
        <f aca="false">IFERROR(AVERAGEIFS(RawData!$G:$G,RawData!$A:$A,설정!$C$4,RawData!$B:$B,$A10,RawData!$C:$C,$B10,RawData!$D:$D,$D10),0)</f>
        <v>3400</v>
      </c>
      <c r="H10" s="55" t="n">
        <f aca="false">IFERROR(AVERAGEIFS(RawData!$H:$H,RawData!$A:$A,설정!$C$4,RawData!$B:$B,$A10,RawData!$C:$C,$B10,RawData!$D:$D,$D10),0)</f>
        <v>13166.6666666667</v>
      </c>
      <c r="I10" s="55" t="n">
        <f aca="false">SUM(F10:H10)</f>
        <v>32322.2222222222</v>
      </c>
      <c r="J10" s="56" t="n">
        <f aca="false">IF($I10=0,0,F10/$I10)</f>
        <v>0.487452732897903</v>
      </c>
      <c r="K10" s="56" t="n">
        <f aca="false">IF($I10=0,0,G10/$I10)</f>
        <v>0.1051907872121</v>
      </c>
      <c r="L10" s="56" t="n">
        <f aca="false">IF($I10=0,0,H10/$I10)</f>
        <v>0.407356479889997</v>
      </c>
    </row>
    <row r="11" customFormat="false" ht="15" hidden="false" customHeight="false" outlineLevel="0" collapsed="false">
      <c r="A11" s="57" t="n">
        <f aca="false">설정!$C$5</f>
        <v>2025</v>
      </c>
      <c r="B11" s="57" t="str">
        <f aca="false">설정!$C$8</f>
        <v>FW</v>
      </c>
      <c r="C11" s="57" t="str">
        <f aca="false">A11&amp;" "&amp;B11</f>
        <v>2025 FW</v>
      </c>
      <c r="D11" s="57" t="str">
        <f aca="false">설정!$C$9</f>
        <v>아우터</v>
      </c>
      <c r="E11" s="57" t="n">
        <f aca="false">COUNTIFS(RawData!$A:$A,설정!$C$4,RawData!$B:$B,$A11,RawData!$C:$C,$B11,RawData!$D:$D,$D11)</f>
        <v>9</v>
      </c>
      <c r="F11" s="58" t="n">
        <f aca="false">IFERROR(AVERAGEIFS(RawData!$F:$F,RawData!$A:$A,설정!$C$4,RawData!$B:$B,$A11,RawData!$C:$C,$B11,RawData!$D:$D,$D11),0)</f>
        <v>57677.7777777778</v>
      </c>
      <c r="G11" s="58" t="n">
        <f aca="false">IFERROR(AVERAGEIFS(RawData!$G:$G,RawData!$A:$A,설정!$C$4,RawData!$B:$B,$A11,RawData!$C:$C,$B11,RawData!$D:$D,$D11),0)</f>
        <v>11811.1111111111</v>
      </c>
      <c r="H11" s="58" t="n">
        <f aca="false">IFERROR(AVERAGEIFS(RawData!$H:$H,RawData!$A:$A,설정!$C$4,RawData!$B:$B,$A11,RawData!$C:$C,$B11,RawData!$D:$D,$D11),0)</f>
        <v>26966.6666666667</v>
      </c>
      <c r="I11" s="58" t="n">
        <f aca="false">SUM(F11:H11)</f>
        <v>96455.5555555556</v>
      </c>
      <c r="J11" s="59" t="n">
        <f aca="false">IF($I11=0,0,F11/$I11)</f>
        <v>0.597972583803709</v>
      </c>
      <c r="K11" s="59" t="n">
        <f aca="false">IF($I11=0,0,G11/$I11)</f>
        <v>0.122451330491879</v>
      </c>
      <c r="L11" s="59" t="n">
        <f aca="false">IF($I11=0,0,H11/$I11)</f>
        <v>0.279576085704412</v>
      </c>
    </row>
    <row r="12" customFormat="false" ht="15" hidden="false" customHeight="false" outlineLevel="0" collapsed="false">
      <c r="A12" s="57" t="n">
        <f aca="false">설정!$C$5</f>
        <v>2025</v>
      </c>
      <c r="B12" s="57" t="str">
        <f aca="false">설정!$C$8</f>
        <v>FW</v>
      </c>
      <c r="C12" s="57" t="str">
        <f aca="false">A12&amp;" "&amp;B12</f>
        <v>2025 FW</v>
      </c>
      <c r="D12" s="57" t="str">
        <f aca="false">설정!$C$10</f>
        <v>니트</v>
      </c>
      <c r="E12" s="57" t="n">
        <f aca="false">COUNTIFS(RawData!$A:$A,설정!$C$4,RawData!$B:$B,$A12,RawData!$C:$C,$B12,RawData!$D:$D,$D12)</f>
        <v>12</v>
      </c>
      <c r="F12" s="58" t="n">
        <f aca="false">IFERROR(AVERAGEIFS(RawData!$F:$F,RawData!$A:$A,설정!$C$4,RawData!$B:$B,$A12,RawData!$C:$C,$B12,RawData!$D:$D,$D12),0)</f>
        <v>23683.3333333333</v>
      </c>
      <c r="G12" s="58" t="n">
        <f aca="false">IFERROR(AVERAGEIFS(RawData!$G:$G,RawData!$A:$A,설정!$C$4,RawData!$B:$B,$A12,RawData!$C:$C,$B12,RawData!$D:$D,$D12),0)</f>
        <v>3733.33333333333</v>
      </c>
      <c r="H12" s="58" t="n">
        <f aca="false">IFERROR(AVERAGEIFS(RawData!$H:$H,RawData!$A:$A,설정!$C$4,RawData!$B:$B,$A12,RawData!$C:$C,$B12,RawData!$D:$D,$D12),0)</f>
        <v>11575</v>
      </c>
      <c r="I12" s="58" t="n">
        <f aca="false">SUM(F12:H12)</f>
        <v>38991.6666666667</v>
      </c>
      <c r="J12" s="59" t="n">
        <f aca="false">IF($I12=0,0,F12/$I12)</f>
        <v>0.607394742466339</v>
      </c>
      <c r="K12" s="59" t="n">
        <f aca="false">IF($I12=0,0,G12/$I12)</f>
        <v>0.0957469544774525</v>
      </c>
      <c r="L12" s="59" t="n">
        <f aca="false">IF($I12=0,0,H12/$I12)</f>
        <v>0.296858303056209</v>
      </c>
    </row>
    <row r="13" customFormat="false" ht="15" hidden="false" customHeight="false" outlineLevel="0" collapsed="false">
      <c r="A13" s="57" t="n">
        <f aca="false">설정!$C$5</f>
        <v>2025</v>
      </c>
      <c r="B13" s="57" t="str">
        <f aca="false">설정!$C$8</f>
        <v>FW</v>
      </c>
      <c r="C13" s="57" t="str">
        <f aca="false">A13&amp;" "&amp;B13</f>
        <v>2025 FW</v>
      </c>
      <c r="D13" s="57" t="str">
        <f aca="false">설정!$C$11</f>
        <v>셔츠</v>
      </c>
      <c r="E13" s="57" t="n">
        <f aca="false">COUNTIFS(RawData!$A:$A,설정!$C$4,RawData!$B:$B,$A13,RawData!$C:$C,$B13,RawData!$D:$D,$D13)</f>
        <v>9</v>
      </c>
      <c r="F13" s="58" t="n">
        <f aca="false">IFERROR(AVERAGEIFS(RawData!$F:$F,RawData!$A:$A,설정!$C$4,RawData!$B:$B,$A13,RawData!$C:$C,$B13,RawData!$D:$D,$D13),0)</f>
        <v>13011.1111111111</v>
      </c>
      <c r="G13" s="58" t="n">
        <f aca="false">IFERROR(AVERAGEIFS(RawData!$G:$G,RawData!$A:$A,설정!$C$4,RawData!$B:$B,$A13,RawData!$C:$C,$B13,RawData!$D:$D,$D13),0)</f>
        <v>2977.77777777778</v>
      </c>
      <c r="H13" s="58" t="n">
        <f aca="false">IFERROR(AVERAGEIFS(RawData!$H:$H,RawData!$A:$A,설정!$C$4,RawData!$B:$B,$A13,RawData!$C:$C,$B13,RawData!$D:$D,$D13),0)</f>
        <v>7966.66666666667</v>
      </c>
      <c r="I13" s="58" t="n">
        <f aca="false">SUM(F13:H13)</f>
        <v>23955.5555555556</v>
      </c>
      <c r="J13" s="59" t="n">
        <f aca="false">IF($I13=0,0,F13/$I13)</f>
        <v>0.543135435992579</v>
      </c>
      <c r="K13" s="59" t="n">
        <f aca="false">IF($I13=0,0,G13/$I13)</f>
        <v>0.12430426716141</v>
      </c>
      <c r="L13" s="59" t="n">
        <f aca="false">IF($I13=0,0,H13/$I13)</f>
        <v>0.332560296846011</v>
      </c>
    </row>
    <row r="14" customFormat="false" ht="15" hidden="false" customHeight="false" outlineLevel="0" collapsed="false">
      <c r="A14" s="57" t="n">
        <f aca="false">설정!$C$5</f>
        <v>2025</v>
      </c>
      <c r="B14" s="57" t="str">
        <f aca="false">설정!$C$8</f>
        <v>FW</v>
      </c>
      <c r="C14" s="57" t="str">
        <f aca="false">A14&amp;" "&amp;B14</f>
        <v>2025 FW</v>
      </c>
      <c r="D14" s="57" t="str">
        <f aca="false">설정!$C$12</f>
        <v>팬츠</v>
      </c>
      <c r="E14" s="57" t="n">
        <f aca="false">COUNTIFS(RawData!$A:$A,설정!$C$4,RawData!$B:$B,$A14,RawData!$C:$C,$B14,RawData!$D:$D,$D14)</f>
        <v>10</v>
      </c>
      <c r="F14" s="58" t="n">
        <f aca="false">IFERROR(AVERAGEIFS(RawData!$F:$F,RawData!$A:$A,설정!$C$4,RawData!$B:$B,$A14,RawData!$C:$C,$B14,RawData!$D:$D,$D14),0)</f>
        <v>16110</v>
      </c>
      <c r="G14" s="58" t="n">
        <f aca="false">IFERROR(AVERAGEIFS(RawData!$G:$G,RawData!$A:$A,설정!$C$4,RawData!$B:$B,$A14,RawData!$C:$C,$B14,RawData!$D:$D,$D14),0)</f>
        <v>4120</v>
      </c>
      <c r="H14" s="58" t="n">
        <f aca="false">IFERROR(AVERAGEIFS(RawData!$H:$H,RawData!$A:$A,설정!$C$4,RawData!$B:$B,$A14,RawData!$C:$C,$B14,RawData!$D:$D,$D14),0)</f>
        <v>9230</v>
      </c>
      <c r="I14" s="58" t="n">
        <f aca="false">SUM(F14:H14)</f>
        <v>29460</v>
      </c>
      <c r="J14" s="59" t="n">
        <f aca="false">IF($I14=0,0,F14/$I14)</f>
        <v>0.546843177189409</v>
      </c>
      <c r="K14" s="59" t="n">
        <f aca="false">IF($I14=0,0,G14/$I14)</f>
        <v>0.139850644942295</v>
      </c>
      <c r="L14" s="59" t="n">
        <f aca="false">IF($I14=0,0,H14/$I14)</f>
        <v>0.313306177868296</v>
      </c>
    </row>
    <row r="15" customFormat="false" ht="15" hidden="false" customHeight="false" outlineLevel="0" collapsed="false">
      <c r="A15" s="57" t="n">
        <f aca="false">설정!$C$5</f>
        <v>2025</v>
      </c>
      <c r="B15" s="57" t="str">
        <f aca="false">설정!$C$8</f>
        <v>FW</v>
      </c>
      <c r="C15" s="57" t="str">
        <f aca="false">A15&amp;" "&amp;B15</f>
        <v>2025 FW</v>
      </c>
      <c r="D15" s="57" t="str">
        <f aca="false">설정!$C$13</f>
        <v>스커트</v>
      </c>
      <c r="E15" s="57" t="n">
        <f aca="false">COUNTIFS(RawData!$A:$A,설정!$C$4,RawData!$B:$B,$A15,RawData!$C:$C,$B15,RawData!$D:$D,$D15)</f>
        <v>8</v>
      </c>
      <c r="F15" s="58" t="n">
        <f aca="false">IFERROR(AVERAGEIFS(RawData!$F:$F,RawData!$A:$A,설정!$C$4,RawData!$B:$B,$A15,RawData!$C:$C,$B15,RawData!$D:$D,$D15),0)</f>
        <v>14037.5</v>
      </c>
      <c r="G15" s="58" t="n">
        <f aca="false">IFERROR(AVERAGEIFS(RawData!$G:$G,RawData!$A:$A,설정!$C$4,RawData!$B:$B,$A15,RawData!$C:$C,$B15,RawData!$D:$D,$D15),0)</f>
        <v>3212.5</v>
      </c>
      <c r="H15" s="58" t="n">
        <f aca="false">IFERROR(AVERAGEIFS(RawData!$H:$H,RawData!$A:$A,설정!$C$4,RawData!$B:$B,$A15,RawData!$C:$C,$B15,RawData!$D:$D,$D15),0)</f>
        <v>8450</v>
      </c>
      <c r="I15" s="58" t="n">
        <f aca="false">SUM(F15:H15)</f>
        <v>25700</v>
      </c>
      <c r="J15" s="59" t="n">
        <f aca="false">IF($I15=0,0,F15/$I15)</f>
        <v>0.546206225680934</v>
      </c>
      <c r="K15" s="59" t="n">
        <f aca="false">IF($I15=0,0,G15/$I15)</f>
        <v>0.125</v>
      </c>
      <c r="L15" s="59" t="n">
        <f aca="false">IF($I15=0,0,H15/$I15)</f>
        <v>0.328793774319066</v>
      </c>
    </row>
    <row r="16" customFormat="false" ht="15" hidden="false" customHeight="false" outlineLevel="0" collapsed="false">
      <c r="A16" s="57" t="n">
        <f aca="false">설정!$C$5</f>
        <v>2025</v>
      </c>
      <c r="B16" s="57" t="str">
        <f aca="false">설정!$C$8</f>
        <v>FW</v>
      </c>
      <c r="C16" s="57" t="str">
        <f aca="false">A16&amp;" "&amp;B16</f>
        <v>2025 FW</v>
      </c>
      <c r="D16" s="57" t="str">
        <f aca="false">설정!$C$14</f>
        <v>원피스</v>
      </c>
      <c r="E16" s="57" t="n">
        <f aca="false">COUNTIFS(RawData!$A:$A,설정!$C$4,RawData!$B:$B,$A16,RawData!$C:$C,$B16,RawData!$D:$D,$D16)</f>
        <v>12</v>
      </c>
      <c r="F16" s="58" t="n">
        <f aca="false">IFERROR(AVERAGEIFS(RawData!$F:$F,RawData!$A:$A,설정!$C$4,RawData!$B:$B,$A16,RawData!$C:$C,$B16,RawData!$D:$D,$D16),0)</f>
        <v>21408.3333333333</v>
      </c>
      <c r="G16" s="58" t="n">
        <f aca="false">IFERROR(AVERAGEIFS(RawData!$G:$G,RawData!$A:$A,설정!$C$4,RawData!$B:$B,$A16,RawData!$C:$C,$B16,RawData!$D:$D,$D16),0)</f>
        <v>4233.33333333333</v>
      </c>
      <c r="H16" s="58" t="n">
        <f aca="false">IFERROR(AVERAGEIFS(RawData!$H:$H,RawData!$A:$A,설정!$C$4,RawData!$B:$B,$A16,RawData!$C:$C,$B16,RawData!$D:$D,$D16),0)</f>
        <v>12758.3333333333</v>
      </c>
      <c r="I16" s="58" t="n">
        <f aca="false">SUM(F16:H16)</f>
        <v>38400</v>
      </c>
      <c r="J16" s="59" t="n">
        <f aca="false">IF($I16=0,0,F16/$I16)</f>
        <v>0.557508680555556</v>
      </c>
      <c r="K16" s="59" t="n">
        <f aca="false">IF($I16=0,0,G16/$I16)</f>
        <v>0.110243055555556</v>
      </c>
      <c r="L16" s="59" t="n">
        <f aca="false">IF($I16=0,0,H16/$I16)</f>
        <v>0.332248263888889</v>
      </c>
    </row>
    <row r="17" customFormat="false" ht="15" hidden="false" customHeight="false" outlineLevel="0" collapsed="false">
      <c r="A17" s="54" t="n">
        <f aca="false">설정!$C$6</f>
        <v>2026</v>
      </c>
      <c r="B17" s="54" t="str">
        <f aca="false">설정!$C$7</f>
        <v>SS</v>
      </c>
      <c r="C17" s="54" t="str">
        <f aca="false">A17&amp;" "&amp;B17</f>
        <v>2026 SS</v>
      </c>
      <c r="D17" s="54" t="str">
        <f aca="false">설정!$C$9</f>
        <v>아우터</v>
      </c>
      <c r="E17" s="54" t="n">
        <f aca="false">COUNTIFS(RawData!$A:$A,설정!$C$4,RawData!$B:$B,$A17,RawData!$C:$C,$B17,RawData!$D:$D,$D17)</f>
        <v>12</v>
      </c>
      <c r="F17" s="55" t="n">
        <f aca="false">IFERROR(AVERAGEIFS(RawData!$F:$F,RawData!$A:$A,설정!$C$4,RawData!$B:$B,$A17,RawData!$C:$C,$B17,RawData!$D:$D,$D17),0)</f>
        <v>46608.3333333333</v>
      </c>
      <c r="G17" s="55" t="n">
        <f aca="false">IFERROR(AVERAGEIFS(RawData!$G:$G,RawData!$A:$A,설정!$C$4,RawData!$B:$B,$A17,RawData!$C:$C,$B17,RawData!$D:$D,$D17),0)</f>
        <v>7625</v>
      </c>
      <c r="H17" s="55" t="n">
        <f aca="false">IFERROR(AVERAGEIFS(RawData!$H:$H,RawData!$A:$A,설정!$C$4,RawData!$B:$B,$A17,RawData!$C:$C,$B17,RawData!$D:$D,$D17),0)</f>
        <v>29891.6666666667</v>
      </c>
      <c r="I17" s="55" t="n">
        <f aca="false">SUM(F17:H17)</f>
        <v>84125</v>
      </c>
      <c r="J17" s="56" t="n">
        <f aca="false">IF($I17=0,0,F17/$I17)</f>
        <v>0.554036651807826</v>
      </c>
      <c r="K17" s="56" t="n">
        <f aca="false">IF($I17=0,0,G17/$I17)</f>
        <v>0.0906389301634473</v>
      </c>
      <c r="L17" s="56" t="n">
        <f aca="false">IF($I17=0,0,H17/$I17)</f>
        <v>0.355324418028727</v>
      </c>
    </row>
    <row r="18" customFormat="false" ht="15" hidden="false" customHeight="false" outlineLevel="0" collapsed="false">
      <c r="A18" s="54" t="n">
        <f aca="false">설정!$C$6</f>
        <v>2026</v>
      </c>
      <c r="B18" s="54" t="str">
        <f aca="false">설정!$C$7</f>
        <v>SS</v>
      </c>
      <c r="C18" s="54" t="str">
        <f aca="false">A18&amp;" "&amp;B18</f>
        <v>2026 SS</v>
      </c>
      <c r="D18" s="54" t="str">
        <f aca="false">설정!$C$10</f>
        <v>니트</v>
      </c>
      <c r="E18" s="54" t="n">
        <f aca="false">COUNTIFS(RawData!$A:$A,설정!$C$4,RawData!$B:$B,$A18,RawData!$C:$C,$B18,RawData!$D:$D,$D18)</f>
        <v>10</v>
      </c>
      <c r="F18" s="55" t="n">
        <f aca="false">IFERROR(AVERAGEIFS(RawData!$F:$F,RawData!$A:$A,설정!$C$4,RawData!$B:$B,$A18,RawData!$C:$C,$B18,RawData!$D:$D,$D18),0)</f>
        <v>18700</v>
      </c>
      <c r="G18" s="55" t="n">
        <f aca="false">IFERROR(AVERAGEIFS(RawData!$G:$G,RawData!$A:$A,설정!$C$4,RawData!$B:$B,$A18,RawData!$C:$C,$B18,RawData!$D:$D,$D18),0)</f>
        <v>2640</v>
      </c>
      <c r="H18" s="55" t="n">
        <f aca="false">IFERROR(AVERAGEIFS(RawData!$H:$H,RawData!$A:$A,설정!$C$4,RawData!$B:$B,$A18,RawData!$C:$C,$B18,RawData!$D:$D,$D18),0)</f>
        <v>12130</v>
      </c>
      <c r="I18" s="55" t="n">
        <f aca="false">SUM(F18:H18)</f>
        <v>33470</v>
      </c>
      <c r="J18" s="56" t="n">
        <f aca="false">IF($I18=0,0,F18/$I18)</f>
        <v>0.558709291903197</v>
      </c>
      <c r="K18" s="56" t="n">
        <f aca="false">IF($I18=0,0,G18/$I18)</f>
        <v>0.0788766059157454</v>
      </c>
      <c r="L18" s="56" t="n">
        <f aca="false">IF($I18=0,0,H18/$I18)</f>
        <v>0.362414102181058</v>
      </c>
    </row>
    <row r="19" customFormat="false" ht="15" hidden="false" customHeight="false" outlineLevel="0" collapsed="false">
      <c r="A19" s="54" t="n">
        <f aca="false">설정!$C$6</f>
        <v>2026</v>
      </c>
      <c r="B19" s="54" t="str">
        <f aca="false">설정!$C$7</f>
        <v>SS</v>
      </c>
      <c r="C19" s="54" t="str">
        <f aca="false">A19&amp;" "&amp;B19</f>
        <v>2026 SS</v>
      </c>
      <c r="D19" s="54" t="str">
        <f aca="false">설정!$C$11</f>
        <v>셔츠</v>
      </c>
      <c r="E19" s="54" t="n">
        <f aca="false">COUNTIFS(RawData!$A:$A,설정!$C$4,RawData!$B:$B,$A19,RawData!$C:$C,$B19,RawData!$D:$D,$D19)</f>
        <v>12</v>
      </c>
      <c r="F19" s="55" t="n">
        <f aca="false">IFERROR(AVERAGEIFS(RawData!$F:$F,RawData!$A:$A,설정!$C$4,RawData!$B:$B,$A19,RawData!$C:$C,$B19,RawData!$D:$D,$D19),0)</f>
        <v>10241.6666666667</v>
      </c>
      <c r="G19" s="55" t="n">
        <f aca="false">IFERROR(AVERAGEIFS(RawData!$G:$G,RawData!$A:$A,설정!$C$4,RawData!$B:$B,$A19,RawData!$C:$C,$B19,RawData!$D:$D,$D19),0)</f>
        <v>2158.33333333333</v>
      </c>
      <c r="H19" s="55" t="n">
        <f aca="false">IFERROR(AVERAGEIFS(RawData!$H:$H,RawData!$A:$A,설정!$C$4,RawData!$B:$B,$A19,RawData!$C:$C,$B19,RawData!$D:$D,$D19),0)</f>
        <v>8833.33333333333</v>
      </c>
      <c r="I19" s="55" t="n">
        <f aca="false">SUM(F19:H19)</f>
        <v>21233.3333333333</v>
      </c>
      <c r="J19" s="56" t="n">
        <f aca="false">IF($I19=0,0,F19/$I19)</f>
        <v>0.482339089481947</v>
      </c>
      <c r="K19" s="56" t="n">
        <f aca="false">IF($I19=0,0,G19/$I19)</f>
        <v>0.101648351648352</v>
      </c>
      <c r="L19" s="56" t="n">
        <f aca="false">IF($I19=0,0,H19/$I19)</f>
        <v>0.416012558869702</v>
      </c>
    </row>
    <row r="20" customFormat="false" ht="15" hidden="false" customHeight="false" outlineLevel="0" collapsed="false">
      <c r="A20" s="54" t="n">
        <f aca="false">설정!$C$6</f>
        <v>2026</v>
      </c>
      <c r="B20" s="54" t="str">
        <f aca="false">설정!$C$7</f>
        <v>SS</v>
      </c>
      <c r="C20" s="54" t="str">
        <f aca="false">A20&amp;" "&amp;B20</f>
        <v>2026 SS</v>
      </c>
      <c r="D20" s="54" t="str">
        <f aca="false">설정!$C$12</f>
        <v>팬츠</v>
      </c>
      <c r="E20" s="54" t="n">
        <f aca="false">COUNTIFS(RawData!$A:$A,설정!$C$4,RawData!$B:$B,$A20,RawData!$C:$C,$B20,RawData!$D:$D,$D20)</f>
        <v>10</v>
      </c>
      <c r="F20" s="55" t="n">
        <f aca="false">IFERROR(AVERAGEIFS(RawData!$F:$F,RawData!$A:$A,설정!$C$4,RawData!$B:$B,$A20,RawData!$C:$C,$B20,RawData!$D:$D,$D20),0)</f>
        <v>12870</v>
      </c>
      <c r="G20" s="55" t="n">
        <f aca="false">IFERROR(AVERAGEIFS(RawData!$G:$G,RawData!$A:$A,설정!$C$4,RawData!$B:$B,$A20,RawData!$C:$C,$B20,RawData!$D:$D,$D20),0)</f>
        <v>3170</v>
      </c>
      <c r="H20" s="55" t="n">
        <f aca="false">IFERROR(AVERAGEIFS(RawData!$H:$H,RawData!$A:$A,설정!$C$4,RawData!$B:$B,$A20,RawData!$C:$C,$B20,RawData!$D:$D,$D20),0)</f>
        <v>9890</v>
      </c>
      <c r="I20" s="55" t="n">
        <f aca="false">SUM(F20:H20)</f>
        <v>25930</v>
      </c>
      <c r="J20" s="56" t="n">
        <f aca="false">IF($I20=0,0,F20/$I20)</f>
        <v>0.49633629001157</v>
      </c>
      <c r="K20" s="56" t="n">
        <f aca="false">IF($I20=0,0,G20/$I20)</f>
        <v>0.122252217508677</v>
      </c>
      <c r="L20" s="56" t="n">
        <f aca="false">IF($I20=0,0,H20/$I20)</f>
        <v>0.381411492479753</v>
      </c>
    </row>
    <row r="21" customFormat="false" ht="15" hidden="false" customHeight="false" outlineLevel="0" collapsed="false">
      <c r="A21" s="54" t="n">
        <f aca="false">설정!$C$6</f>
        <v>2026</v>
      </c>
      <c r="B21" s="54" t="str">
        <f aca="false">설정!$C$7</f>
        <v>SS</v>
      </c>
      <c r="C21" s="54" t="str">
        <f aca="false">A21&amp;" "&amp;B21</f>
        <v>2026 SS</v>
      </c>
      <c r="D21" s="54" t="str">
        <f aca="false">설정!$C$13</f>
        <v>스커트</v>
      </c>
      <c r="E21" s="54" t="n">
        <f aca="false">COUNTIFS(RawData!$A:$A,설정!$C$4,RawData!$B:$B,$A21,RawData!$C:$C,$B21,RawData!$D:$D,$D21)</f>
        <v>12</v>
      </c>
      <c r="F21" s="55" t="n">
        <f aca="false">IFERROR(AVERAGEIFS(RawData!$F:$F,RawData!$A:$A,설정!$C$4,RawData!$B:$B,$A21,RawData!$C:$C,$B21,RawData!$D:$D,$D21),0)</f>
        <v>10275</v>
      </c>
      <c r="G21" s="55" t="n">
        <f aca="false">IFERROR(AVERAGEIFS(RawData!$G:$G,RawData!$A:$A,설정!$C$4,RawData!$B:$B,$A21,RawData!$C:$C,$B21,RawData!$D:$D,$D21),0)</f>
        <v>2708.33333333333</v>
      </c>
      <c r="H21" s="55" t="n">
        <f aca="false">IFERROR(AVERAGEIFS(RawData!$H:$H,RawData!$A:$A,설정!$C$4,RawData!$B:$B,$A21,RawData!$C:$C,$B21,RawData!$D:$D,$D21),0)</f>
        <v>9258.33333333333</v>
      </c>
      <c r="I21" s="55" t="n">
        <f aca="false">SUM(F21:H21)</f>
        <v>22241.6666666667</v>
      </c>
      <c r="J21" s="56" t="n">
        <f aca="false">IF($I21=0,0,F21/$I21)</f>
        <v>0.461970775571375</v>
      </c>
      <c r="K21" s="56" t="n">
        <f aca="false">IF($I21=0,0,G21/$I21)</f>
        <v>0.121768452603972</v>
      </c>
      <c r="L21" s="56" t="n">
        <f aca="false">IF($I21=0,0,H21/$I21)</f>
        <v>0.416260771824653</v>
      </c>
    </row>
    <row r="22" customFormat="false" ht="15" hidden="false" customHeight="false" outlineLevel="0" collapsed="false">
      <c r="A22" s="54" t="n">
        <f aca="false">설정!$C$6</f>
        <v>2026</v>
      </c>
      <c r="B22" s="54" t="str">
        <f aca="false">설정!$C$7</f>
        <v>SS</v>
      </c>
      <c r="C22" s="54" t="str">
        <f aca="false">A22&amp;" "&amp;B22</f>
        <v>2026 SS</v>
      </c>
      <c r="D22" s="54" t="str">
        <f aca="false">설정!$C$14</f>
        <v>원피스</v>
      </c>
      <c r="E22" s="54" t="n">
        <f aca="false">COUNTIFS(RawData!$A:$A,설정!$C$4,RawData!$B:$B,$A22,RawData!$C:$C,$B22,RawData!$D:$D,$D22)</f>
        <v>8</v>
      </c>
      <c r="F22" s="55" t="n">
        <f aca="false">IFERROR(AVERAGEIFS(RawData!$F:$F,RawData!$A:$A,설정!$C$4,RawData!$B:$B,$A22,RawData!$C:$C,$B22,RawData!$D:$D,$D22),0)</f>
        <v>17150</v>
      </c>
      <c r="G22" s="55" t="n">
        <f aca="false">IFERROR(AVERAGEIFS(RawData!$G:$G,RawData!$A:$A,설정!$C$4,RawData!$B:$B,$A22,RawData!$C:$C,$B22,RawData!$D:$D,$D22),0)</f>
        <v>3412.5</v>
      </c>
      <c r="H22" s="55" t="n">
        <f aca="false">IFERROR(AVERAGEIFS(RawData!$H:$H,RawData!$A:$A,설정!$C$4,RawData!$B:$B,$A22,RawData!$C:$C,$B22,RawData!$D:$D,$D22),0)</f>
        <v>13475</v>
      </c>
      <c r="I22" s="55" t="n">
        <f aca="false">SUM(F22:H22)</f>
        <v>34037.5</v>
      </c>
      <c r="J22" s="56" t="n">
        <f aca="false">IF($I22=0,0,F22/$I22)</f>
        <v>0.503856041131105</v>
      </c>
      <c r="K22" s="56" t="n">
        <f aca="false">IF($I22=0,0,G22/$I22)</f>
        <v>0.10025706940874</v>
      </c>
      <c r="L22" s="56" t="n">
        <f aca="false">IF($I22=0,0,H22/$I22)</f>
        <v>0.395886889460154</v>
      </c>
    </row>
    <row r="23" customFormat="false" ht="15" hidden="false" customHeight="false" outlineLevel="0" collapsed="false">
      <c r="A23" s="57" t="n">
        <f aca="false">설정!$C$6</f>
        <v>2026</v>
      </c>
      <c r="B23" s="57" t="str">
        <f aca="false">설정!$C$8</f>
        <v>FW</v>
      </c>
      <c r="C23" s="57" t="str">
        <f aca="false">A23&amp;" "&amp;B23</f>
        <v>2026 FW</v>
      </c>
      <c r="D23" s="57" t="str">
        <f aca="false">설정!$C$9</f>
        <v>아우터</v>
      </c>
      <c r="E23" s="57" t="n">
        <f aca="false">COUNTIFS(RawData!$A:$A,설정!$C$4,RawData!$B:$B,$A23,RawData!$C:$C,$B23,RawData!$D:$D,$D23)</f>
        <v>11</v>
      </c>
      <c r="F23" s="58" t="n">
        <f aca="false">IFERROR(AVERAGEIFS(RawData!$F:$F,RawData!$A:$A,설정!$C$4,RawData!$B:$B,$A23,RawData!$C:$C,$B23,RawData!$D:$D,$D23),0)</f>
        <v>62854.5454545455</v>
      </c>
      <c r="G23" s="58" t="n">
        <f aca="false">IFERROR(AVERAGEIFS(RawData!$G:$G,RawData!$A:$A,설정!$C$4,RawData!$B:$B,$A23,RawData!$C:$C,$B23,RawData!$D:$D,$D23),0)</f>
        <v>10690.9090909091</v>
      </c>
      <c r="H23" s="58" t="n">
        <f aca="false">IFERROR(AVERAGEIFS(RawData!$H:$H,RawData!$A:$A,설정!$C$4,RawData!$B:$B,$A23,RawData!$C:$C,$B23,RawData!$D:$D,$D23),0)</f>
        <v>30563.6363636364</v>
      </c>
      <c r="I23" s="58" t="n">
        <f aca="false">SUM(F23:H23)</f>
        <v>104109.090909091</v>
      </c>
      <c r="J23" s="59" t="n">
        <f aca="false">IF($I23=0,0,F23/$I23)</f>
        <v>0.603737338456165</v>
      </c>
      <c r="K23" s="59" t="n">
        <f aca="false">IF($I23=0,0,G23/$I23)</f>
        <v>0.102689486552567</v>
      </c>
      <c r="L23" s="59" t="n">
        <f aca="false">IF($I23=0,0,H23/$I23)</f>
        <v>0.293573174991268</v>
      </c>
    </row>
    <row r="24" customFormat="false" ht="15" hidden="false" customHeight="false" outlineLevel="0" collapsed="false">
      <c r="A24" s="57" t="n">
        <f aca="false">설정!$C$6</f>
        <v>2026</v>
      </c>
      <c r="B24" s="57" t="str">
        <f aca="false">설정!$C$8</f>
        <v>FW</v>
      </c>
      <c r="C24" s="57" t="str">
        <f aca="false">A24&amp;" "&amp;B24</f>
        <v>2026 FW</v>
      </c>
      <c r="D24" s="57" t="str">
        <f aca="false">설정!$C$10</f>
        <v>니트</v>
      </c>
      <c r="E24" s="57" t="n">
        <f aca="false">COUNTIFS(RawData!$A:$A,설정!$C$4,RawData!$B:$B,$A24,RawData!$C:$C,$B24,RawData!$D:$D,$D24)</f>
        <v>9</v>
      </c>
      <c r="F24" s="58" t="n">
        <f aca="false">IFERROR(AVERAGEIFS(RawData!$F:$F,RawData!$A:$A,설정!$C$4,RawData!$B:$B,$A24,RawData!$C:$C,$B24,RawData!$D:$D,$D24),0)</f>
        <v>24177.7777777778</v>
      </c>
      <c r="G24" s="58" t="n">
        <f aca="false">IFERROR(AVERAGEIFS(RawData!$G:$G,RawData!$A:$A,설정!$C$4,RawData!$B:$B,$A24,RawData!$C:$C,$B24,RawData!$D:$D,$D24),0)</f>
        <v>3666.66666666667</v>
      </c>
      <c r="H24" s="58" t="n">
        <f aca="false">IFERROR(AVERAGEIFS(RawData!$H:$H,RawData!$A:$A,설정!$C$4,RawData!$B:$B,$A24,RawData!$C:$C,$B24,RawData!$D:$D,$D24),0)</f>
        <v>13000</v>
      </c>
      <c r="I24" s="58" t="n">
        <f aca="false">SUM(F24:H24)</f>
        <v>40844.4444444444</v>
      </c>
      <c r="J24" s="59" t="n">
        <f aca="false">IF($I24=0,0,F24/$I24)</f>
        <v>0.591947769314472</v>
      </c>
      <c r="K24" s="59" t="n">
        <f aca="false">IF($I24=0,0,G24/$I24)</f>
        <v>0.0897714907508161</v>
      </c>
      <c r="L24" s="59" t="n">
        <f aca="false">IF($I24=0,0,H24/$I24)</f>
        <v>0.318280739934712</v>
      </c>
    </row>
    <row r="25" customFormat="false" ht="15" hidden="false" customHeight="false" outlineLevel="0" collapsed="false">
      <c r="A25" s="57" t="n">
        <f aca="false">설정!$C$6</f>
        <v>2026</v>
      </c>
      <c r="B25" s="57" t="str">
        <f aca="false">설정!$C$8</f>
        <v>FW</v>
      </c>
      <c r="C25" s="57" t="str">
        <f aca="false">A25&amp;" "&amp;B25</f>
        <v>2026 FW</v>
      </c>
      <c r="D25" s="57" t="str">
        <f aca="false">설정!$C$11</f>
        <v>셔츠</v>
      </c>
      <c r="E25" s="57" t="n">
        <f aca="false">COUNTIFS(RawData!$A:$A,설정!$C$4,RawData!$B:$B,$A25,RawData!$C:$C,$B25,RawData!$D:$D,$D25)</f>
        <v>8</v>
      </c>
      <c r="F25" s="58" t="n">
        <f aca="false">IFERROR(AVERAGEIFS(RawData!$F:$F,RawData!$A:$A,설정!$C$4,RawData!$B:$B,$A25,RawData!$C:$C,$B25,RawData!$D:$D,$D25),0)</f>
        <v>13450</v>
      </c>
      <c r="G25" s="58" t="n">
        <f aca="false">IFERROR(AVERAGEIFS(RawData!$G:$G,RawData!$A:$A,설정!$C$4,RawData!$B:$B,$A25,RawData!$C:$C,$B25,RawData!$D:$D,$D25),0)</f>
        <v>3200</v>
      </c>
      <c r="H25" s="58" t="n">
        <f aca="false">IFERROR(AVERAGEIFS(RawData!$H:$H,RawData!$A:$A,설정!$C$4,RawData!$B:$B,$A25,RawData!$C:$C,$B25,RawData!$D:$D,$D25),0)</f>
        <v>8662.5</v>
      </c>
      <c r="I25" s="58" t="n">
        <f aca="false">SUM(F25:H25)</f>
        <v>25312.5</v>
      </c>
      <c r="J25" s="59" t="n">
        <f aca="false">IF($I25=0,0,F25/$I25)</f>
        <v>0.531358024691358</v>
      </c>
      <c r="K25" s="59" t="n">
        <f aca="false">IF($I25=0,0,G25/$I25)</f>
        <v>0.12641975308642</v>
      </c>
      <c r="L25" s="59" t="n">
        <f aca="false">IF($I25=0,0,H25/$I25)</f>
        <v>0.342222222222222</v>
      </c>
    </row>
    <row r="26" customFormat="false" ht="15" hidden="false" customHeight="false" outlineLevel="0" collapsed="false">
      <c r="A26" s="57" t="n">
        <f aca="false">설정!$C$6</f>
        <v>2026</v>
      </c>
      <c r="B26" s="57" t="str">
        <f aca="false">설정!$C$8</f>
        <v>FW</v>
      </c>
      <c r="C26" s="57" t="str">
        <f aca="false">A26&amp;" "&amp;B26</f>
        <v>2026 FW</v>
      </c>
      <c r="D26" s="57" t="str">
        <f aca="false">설정!$C$12</f>
        <v>팬츠</v>
      </c>
      <c r="E26" s="57" t="n">
        <f aca="false">COUNTIFS(RawData!$A:$A,설정!$C$4,RawData!$B:$B,$A26,RawData!$C:$C,$B26,RawData!$D:$D,$D26)</f>
        <v>9</v>
      </c>
      <c r="F26" s="58" t="n">
        <f aca="false">IFERROR(AVERAGEIFS(RawData!$F:$F,RawData!$A:$A,설정!$C$4,RawData!$B:$B,$A26,RawData!$C:$C,$B26,RawData!$D:$D,$D26),0)</f>
        <v>16700</v>
      </c>
      <c r="G26" s="58" t="n">
        <f aca="false">IFERROR(AVERAGEIFS(RawData!$G:$G,RawData!$A:$A,설정!$C$4,RawData!$B:$B,$A26,RawData!$C:$C,$B26,RawData!$D:$D,$D26),0)</f>
        <v>4244.44444444444</v>
      </c>
      <c r="H26" s="58" t="n">
        <f aca="false">IFERROR(AVERAGEIFS(RawData!$H:$H,RawData!$A:$A,설정!$C$4,RawData!$B:$B,$A26,RawData!$C:$C,$B26,RawData!$D:$D,$D26),0)</f>
        <v>9933.33333333333</v>
      </c>
      <c r="I26" s="58" t="n">
        <f aca="false">SUM(F26:H26)</f>
        <v>30877.7777777778</v>
      </c>
      <c r="J26" s="59" t="n">
        <f aca="false">IF($I26=0,0,F26/$I26)</f>
        <v>0.540842029507017</v>
      </c>
      <c r="K26" s="59" t="n">
        <f aca="false">IF($I26=0,0,G26/$I26)</f>
        <v>0.137459517812163</v>
      </c>
      <c r="L26" s="59" t="n">
        <f aca="false">IF($I26=0,0,H26/$I26)</f>
        <v>0.32169845268082</v>
      </c>
    </row>
    <row r="27" customFormat="false" ht="15" hidden="false" customHeight="false" outlineLevel="0" collapsed="false">
      <c r="A27" s="57" t="n">
        <f aca="false">설정!$C$6</f>
        <v>2026</v>
      </c>
      <c r="B27" s="57" t="str">
        <f aca="false">설정!$C$8</f>
        <v>FW</v>
      </c>
      <c r="C27" s="57" t="str">
        <f aca="false">A27&amp;" "&amp;B27</f>
        <v>2026 FW</v>
      </c>
      <c r="D27" s="57" t="str">
        <f aca="false">설정!$C$13</f>
        <v>스커트</v>
      </c>
      <c r="E27" s="57" t="n">
        <f aca="false">COUNTIFS(RawData!$A:$A,설정!$C$4,RawData!$B:$B,$A27,RawData!$C:$C,$B27,RawData!$D:$D,$D27)</f>
        <v>8</v>
      </c>
      <c r="F27" s="58" t="n">
        <f aca="false">IFERROR(AVERAGEIFS(RawData!$F:$F,RawData!$A:$A,설정!$C$4,RawData!$B:$B,$A27,RawData!$C:$C,$B27,RawData!$D:$D,$D27),0)</f>
        <v>13512.5</v>
      </c>
      <c r="G27" s="58" t="n">
        <f aca="false">IFERROR(AVERAGEIFS(RawData!$G:$G,RawData!$A:$A,설정!$C$4,RawData!$B:$B,$A27,RawData!$C:$C,$B27,RawData!$D:$D,$D27),0)</f>
        <v>3625</v>
      </c>
      <c r="H27" s="58" t="n">
        <f aca="false">IFERROR(AVERAGEIFS(RawData!$H:$H,RawData!$A:$A,설정!$C$4,RawData!$B:$B,$A27,RawData!$C:$C,$B27,RawData!$D:$D,$D27),0)</f>
        <v>8925</v>
      </c>
      <c r="I27" s="58" t="n">
        <f aca="false">SUM(F27:H27)</f>
        <v>26062.5</v>
      </c>
      <c r="J27" s="59" t="n">
        <f aca="false">IF($I27=0,0,F27/$I27)</f>
        <v>0.518465227817746</v>
      </c>
      <c r="K27" s="59" t="n">
        <f aca="false">IF($I27=0,0,G27/$I27)</f>
        <v>0.139088729016787</v>
      </c>
      <c r="L27" s="59" t="n">
        <f aca="false">IF($I27=0,0,H27/$I27)</f>
        <v>0.342446043165468</v>
      </c>
    </row>
    <row r="28" customFormat="false" ht="15" hidden="false" customHeight="false" outlineLevel="0" collapsed="false">
      <c r="A28" s="57" t="n">
        <f aca="false">설정!$C$6</f>
        <v>2026</v>
      </c>
      <c r="B28" s="57" t="str">
        <f aca="false">설정!$C$8</f>
        <v>FW</v>
      </c>
      <c r="C28" s="57" t="str">
        <f aca="false">A28&amp;" "&amp;B28</f>
        <v>2026 FW</v>
      </c>
      <c r="D28" s="57" t="str">
        <f aca="false">설정!$C$14</f>
        <v>원피스</v>
      </c>
      <c r="E28" s="57" t="n">
        <f aca="false">COUNTIFS(RawData!$A:$A,설정!$C$4,RawData!$B:$B,$A28,RawData!$C:$C,$B28,RawData!$D:$D,$D28)</f>
        <v>12</v>
      </c>
      <c r="F28" s="58" t="n">
        <f aca="false">IFERROR(AVERAGEIFS(RawData!$F:$F,RawData!$A:$A,설정!$C$4,RawData!$B:$B,$A28,RawData!$C:$C,$B28,RawData!$D:$D,$D28),0)</f>
        <v>22116.6666666667</v>
      </c>
      <c r="G28" s="58" t="n">
        <f aca="false">IFERROR(AVERAGEIFS(RawData!$G:$G,RawData!$A:$A,설정!$C$4,RawData!$B:$B,$A28,RawData!$C:$C,$B28,RawData!$D:$D,$D28),0)</f>
        <v>4766.66666666667</v>
      </c>
      <c r="H28" s="58" t="n">
        <f aca="false">IFERROR(AVERAGEIFS(RawData!$H:$H,RawData!$A:$A,설정!$C$4,RawData!$B:$B,$A28,RawData!$C:$C,$B28,RawData!$D:$D,$D28),0)</f>
        <v>13458.3333333333</v>
      </c>
      <c r="I28" s="58" t="n">
        <f aca="false">SUM(F28:H28)</f>
        <v>40341.6666666667</v>
      </c>
      <c r="J28" s="59" t="n">
        <f aca="false">IF($I28=0,0,F28/$I28)</f>
        <v>0.548233835984301</v>
      </c>
      <c r="K28" s="59" t="n">
        <f aca="false">IF($I28=0,0,G28/$I28)</f>
        <v>0.118157405494732</v>
      </c>
      <c r="L28" s="59" t="n">
        <f aca="false">IF($I28=0,0,H28/$I28)</f>
        <v>0.333608758520967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2"/>
    <col collapsed="false" customWidth="true" hidden="false" outlineLevel="0" max="10" min="10" style="0" width="14"/>
  </cols>
  <sheetData>
    <row r="1" customFormat="false" ht="19.4" hidden="false" customHeight="false" outlineLevel="0" collapsed="false">
      <c r="A1" s="3" t="s">
        <v>303</v>
      </c>
    </row>
    <row r="3" customFormat="false" ht="15" hidden="false" customHeight="false" outlineLevel="0" collapsed="false">
      <c r="A3" s="11" t="s">
        <v>304</v>
      </c>
    </row>
    <row r="4" customFormat="false" ht="15" hidden="false" customHeight="false" outlineLevel="0" collapsed="false">
      <c r="A4" s="10" t="s">
        <v>32</v>
      </c>
      <c r="B4" s="10" t="str">
        <f aca="false">설정!$C$5&amp;" "&amp;설정!$C$7</f>
        <v>2025 SS</v>
      </c>
      <c r="C4" s="10" t="str">
        <f aca="false">설정!$C$5&amp;" "&amp;설정!$C$8</f>
        <v>2025 FW</v>
      </c>
      <c r="D4" s="10" t="str">
        <f aca="false">설정!$C$6&amp;" "&amp;설정!$C$7</f>
        <v>2026 SS</v>
      </c>
      <c r="E4" s="10" t="str">
        <f aca="false">설정!$C$6&amp;" "&amp;설정!$C$8</f>
        <v>2026 FW</v>
      </c>
      <c r="F4" s="60" t="s">
        <v>305</v>
      </c>
      <c r="G4" s="60" t="s">
        <v>306</v>
      </c>
    </row>
    <row r="5" customFormat="false" ht="15" hidden="false" customHeight="false" outlineLevel="0" collapsed="false">
      <c r="A5" s="61" t="str">
        <f aca="false">설정!$C$9</f>
        <v>아우터</v>
      </c>
      <c r="B5" s="55" t="n">
        <f aca="false">IFERROR(AVERAGEIFS(RawData!$F:$F,RawData!$A:$A,설정!$C$4,RawData!$B:$B,설정!$C$5,RawData!$C:$C,설정!$C$7,RawData!$D:$D,설정!$C$9),0)</f>
        <v>46230</v>
      </c>
      <c r="C5" s="55" t="n">
        <f aca="false">IFERROR(AVERAGEIFS(RawData!$F:$F,RawData!$A:$A,설정!$C$4,RawData!$B:$B,설정!$C$5,RawData!$C:$C,설정!$C$8,RawData!$D:$D,설정!$C$9),0)</f>
        <v>57677.7777777778</v>
      </c>
      <c r="D5" s="55" t="n">
        <f aca="false">IFERROR(AVERAGEIFS(RawData!$F:$F,RawData!$A:$A,설정!$C$4,RawData!$B:$B,설정!$C$6,RawData!$C:$C,설정!$C$7,RawData!$D:$D,설정!$C$9),0)</f>
        <v>46608.3333333333</v>
      </c>
      <c r="E5" s="55" t="n">
        <f aca="false">IFERROR(AVERAGEIFS(RawData!$F:$F,RawData!$A:$A,설정!$C$4,RawData!$B:$B,설정!$C$6,RawData!$C:$C,설정!$C$8,RawData!$D:$D,설정!$C$9),0)</f>
        <v>62854.5454545455</v>
      </c>
      <c r="F5" s="56" t="n">
        <f aca="false">IF(B5=0,0,D5/B5-1)</f>
        <v>0.00818371908573079</v>
      </c>
      <c r="G5" s="56" t="n">
        <f aca="false">IF(C5=0,0,E5/C5-1)</f>
        <v>0.0897532442514142</v>
      </c>
    </row>
    <row r="6" customFormat="false" ht="15" hidden="false" customHeight="false" outlineLevel="0" collapsed="false">
      <c r="A6" s="61" t="str">
        <f aca="false">설정!$C$10</f>
        <v>니트</v>
      </c>
      <c r="B6" s="55" t="n">
        <f aca="false">IFERROR(AVERAGEIFS(RawData!$F:$F,RawData!$A:$A,설정!$C$4,RawData!$B:$B,설정!$C$5,RawData!$C:$C,설정!$C$7,RawData!$D:$D,설정!$C$10),0)</f>
        <v>17233.3333333333</v>
      </c>
      <c r="C6" s="55" t="n">
        <f aca="false">IFERROR(AVERAGEIFS(RawData!$F:$F,RawData!$A:$A,설정!$C$4,RawData!$B:$B,설정!$C$5,RawData!$C:$C,설정!$C$8,RawData!$D:$D,설정!$C$10),0)</f>
        <v>23683.3333333333</v>
      </c>
      <c r="D6" s="55" t="n">
        <f aca="false">IFERROR(AVERAGEIFS(RawData!$F:$F,RawData!$A:$A,설정!$C$4,RawData!$B:$B,설정!$C$6,RawData!$C:$C,설정!$C$7,RawData!$D:$D,설정!$C$10),0)</f>
        <v>18700</v>
      </c>
      <c r="E6" s="55" t="n">
        <f aca="false">IFERROR(AVERAGEIFS(RawData!$F:$F,RawData!$A:$A,설정!$C$4,RawData!$B:$B,설정!$C$6,RawData!$C:$C,설정!$C$8,RawData!$D:$D,설정!$C$10),0)</f>
        <v>24177.7777777778</v>
      </c>
      <c r="F6" s="56" t="n">
        <f aca="false">IF(B6=0,0,D6/B6-1)</f>
        <v>0.0851063829787235</v>
      </c>
      <c r="G6" s="56" t="n">
        <f aca="false">IF(C6=0,0,E6/C6-1)</f>
        <v>0.020877316443819</v>
      </c>
    </row>
    <row r="7" customFormat="false" ht="15" hidden="false" customHeight="false" outlineLevel="0" collapsed="false">
      <c r="A7" s="61" t="str">
        <f aca="false">설정!$C$11</f>
        <v>셔츠</v>
      </c>
      <c r="B7" s="55" t="n">
        <f aca="false">IFERROR(AVERAGEIFS(RawData!$F:$F,RawData!$A:$A,설정!$C$4,RawData!$B:$B,설정!$C$5,RawData!$C:$C,설정!$C$7,RawData!$D:$D,설정!$C$11),0)</f>
        <v>9666.66666666667</v>
      </c>
      <c r="C7" s="55" t="n">
        <f aca="false">IFERROR(AVERAGEIFS(RawData!$F:$F,RawData!$A:$A,설정!$C$4,RawData!$B:$B,설정!$C$5,RawData!$C:$C,설정!$C$8,RawData!$D:$D,설정!$C$11),0)</f>
        <v>13011.1111111111</v>
      </c>
      <c r="D7" s="55" t="n">
        <f aca="false">IFERROR(AVERAGEIFS(RawData!$F:$F,RawData!$A:$A,설정!$C$4,RawData!$B:$B,설정!$C$6,RawData!$C:$C,설정!$C$7,RawData!$D:$D,설정!$C$11),0)</f>
        <v>10241.6666666667</v>
      </c>
      <c r="E7" s="55" t="n">
        <f aca="false">IFERROR(AVERAGEIFS(RawData!$F:$F,RawData!$A:$A,설정!$C$4,RawData!$B:$B,설정!$C$6,RawData!$C:$C,설정!$C$8,RawData!$D:$D,설정!$C$11),0)</f>
        <v>13450</v>
      </c>
      <c r="F7" s="56" t="n">
        <f aca="false">IF(B7=0,0,D7/B7-1)</f>
        <v>0.0594827586206896</v>
      </c>
      <c r="G7" s="56" t="n">
        <f aca="false">IF(C7=0,0,E7/C7-1)</f>
        <v>0.0337318531169941</v>
      </c>
    </row>
    <row r="8" customFormat="false" ht="15" hidden="false" customHeight="false" outlineLevel="0" collapsed="false">
      <c r="A8" s="61" t="str">
        <f aca="false">설정!$C$12</f>
        <v>팬츠</v>
      </c>
      <c r="B8" s="55" t="n">
        <f aca="false">IFERROR(AVERAGEIFS(RawData!$F:$F,RawData!$A:$A,설정!$C$4,RawData!$B:$B,설정!$C$5,RawData!$C:$C,설정!$C$7,RawData!$D:$D,설정!$C$12),0)</f>
        <v>12236.3636363636</v>
      </c>
      <c r="C8" s="55" t="n">
        <f aca="false">IFERROR(AVERAGEIFS(RawData!$F:$F,RawData!$A:$A,설정!$C$4,RawData!$B:$B,설정!$C$5,RawData!$C:$C,설정!$C$8,RawData!$D:$D,설정!$C$12),0)</f>
        <v>16110</v>
      </c>
      <c r="D8" s="55" t="n">
        <f aca="false">IFERROR(AVERAGEIFS(RawData!$F:$F,RawData!$A:$A,설정!$C$4,RawData!$B:$B,설정!$C$6,RawData!$C:$C,설정!$C$7,RawData!$D:$D,설정!$C$12),0)</f>
        <v>12870</v>
      </c>
      <c r="E8" s="55" t="n">
        <f aca="false">IFERROR(AVERAGEIFS(RawData!$F:$F,RawData!$A:$A,설정!$C$4,RawData!$B:$B,설정!$C$6,RawData!$C:$C,설정!$C$8,RawData!$D:$D,설정!$C$12),0)</f>
        <v>16700</v>
      </c>
      <c r="F8" s="56" t="n">
        <f aca="false">IF(B8=0,0,D8/B8-1)</f>
        <v>0.0517830609212482</v>
      </c>
      <c r="G8" s="56" t="n">
        <f aca="false">IF(C8=0,0,E8/C8-1)</f>
        <v>0.036623215394165</v>
      </c>
    </row>
    <row r="9" customFormat="false" ht="15" hidden="false" customHeight="false" outlineLevel="0" collapsed="false">
      <c r="A9" s="61" t="str">
        <f aca="false">설정!$C$13</f>
        <v>스커트</v>
      </c>
      <c r="B9" s="55" t="n">
        <f aca="false">IFERROR(AVERAGEIFS(RawData!$F:$F,RawData!$A:$A,설정!$C$4,RawData!$B:$B,설정!$C$5,RawData!$C:$C,설정!$C$7,RawData!$D:$D,설정!$C$13),0)</f>
        <v>10050</v>
      </c>
      <c r="C9" s="55" t="n">
        <f aca="false">IFERROR(AVERAGEIFS(RawData!$F:$F,RawData!$A:$A,설정!$C$4,RawData!$B:$B,설정!$C$5,RawData!$C:$C,설정!$C$8,RawData!$D:$D,설정!$C$13),0)</f>
        <v>14037.5</v>
      </c>
      <c r="D9" s="55" t="n">
        <f aca="false">IFERROR(AVERAGEIFS(RawData!$F:$F,RawData!$A:$A,설정!$C$4,RawData!$B:$B,설정!$C$6,RawData!$C:$C,설정!$C$7,RawData!$D:$D,설정!$C$13),0)</f>
        <v>10275</v>
      </c>
      <c r="E9" s="55" t="n">
        <f aca="false">IFERROR(AVERAGEIFS(RawData!$F:$F,RawData!$A:$A,설정!$C$4,RawData!$B:$B,설정!$C$6,RawData!$C:$C,설정!$C$8,RawData!$D:$D,설정!$C$13),0)</f>
        <v>13512.5</v>
      </c>
      <c r="F9" s="56" t="n">
        <f aca="false">IF(B9=0,0,D9/B9-1)</f>
        <v>0.0223880597014925</v>
      </c>
      <c r="G9" s="56" t="n">
        <f aca="false">IF(C9=0,0,E9/C9-1)</f>
        <v>-0.03739982190561</v>
      </c>
    </row>
    <row r="10" customFormat="false" ht="15" hidden="false" customHeight="false" outlineLevel="0" collapsed="false">
      <c r="A10" s="61" t="str">
        <f aca="false">설정!$C$14</f>
        <v>원피스</v>
      </c>
      <c r="B10" s="55" t="n">
        <f aca="false">IFERROR(AVERAGEIFS(RawData!$F:$F,RawData!$A:$A,설정!$C$4,RawData!$B:$B,설정!$C$5,RawData!$C:$C,설정!$C$7,RawData!$D:$D,설정!$C$14),0)</f>
        <v>15755.5555555556</v>
      </c>
      <c r="C10" s="55" t="n">
        <f aca="false">IFERROR(AVERAGEIFS(RawData!$F:$F,RawData!$A:$A,설정!$C$4,RawData!$B:$B,설정!$C$5,RawData!$C:$C,설정!$C$8,RawData!$D:$D,설정!$C$14),0)</f>
        <v>21408.3333333333</v>
      </c>
      <c r="D10" s="55" t="n">
        <f aca="false">IFERROR(AVERAGEIFS(RawData!$F:$F,RawData!$A:$A,설정!$C$4,RawData!$B:$B,설정!$C$6,RawData!$C:$C,설정!$C$7,RawData!$D:$D,설정!$C$14),0)</f>
        <v>17150</v>
      </c>
      <c r="E10" s="55" t="n">
        <f aca="false">IFERROR(AVERAGEIFS(RawData!$F:$F,RawData!$A:$A,설정!$C$4,RawData!$B:$B,설정!$C$6,RawData!$C:$C,설정!$C$8,RawData!$D:$D,설정!$C$14),0)</f>
        <v>22116.6666666667</v>
      </c>
      <c r="F10" s="56" t="n">
        <f aca="false">IF(B10=0,0,D10/B10-1)</f>
        <v>0.0885049365303245</v>
      </c>
      <c r="G10" s="56" t="n">
        <f aca="false">IF(C10=0,0,E10/C10-1)</f>
        <v>0.0330868042039705</v>
      </c>
    </row>
    <row r="12" customFormat="false" ht="15" hidden="false" customHeight="false" outlineLevel="0" collapsed="false">
      <c r="A12" s="11" t="s">
        <v>307</v>
      </c>
    </row>
    <row r="13" customFormat="false" ht="15" hidden="false" customHeight="false" outlineLevel="0" collapsed="false">
      <c r="A13" s="10" t="s">
        <v>32</v>
      </c>
      <c r="B13" s="10" t="str">
        <f aca="false">설정!$C$5&amp;" "&amp;설정!$C$7</f>
        <v>2025 SS</v>
      </c>
      <c r="C13" s="10" t="str">
        <f aca="false">설정!$C$5&amp;" "&amp;설정!$C$8</f>
        <v>2025 FW</v>
      </c>
      <c r="D13" s="10" t="str">
        <f aca="false">설정!$C$6&amp;" "&amp;설정!$C$7</f>
        <v>2026 SS</v>
      </c>
      <c r="E13" s="10" t="str">
        <f aca="false">설정!$C$6&amp;" "&amp;설정!$C$8</f>
        <v>2026 FW</v>
      </c>
      <c r="F13" s="60" t="s">
        <v>305</v>
      </c>
      <c r="G13" s="60" t="s">
        <v>306</v>
      </c>
    </row>
    <row r="14" customFormat="false" ht="15" hidden="false" customHeight="false" outlineLevel="0" collapsed="false">
      <c r="A14" s="61" t="str">
        <f aca="false">설정!$C$9</f>
        <v>아우터</v>
      </c>
      <c r="B14" s="55" t="n">
        <f aca="false">IFERROR(AVERAGEIFS(RawData!$G:$G,RawData!$A:$A,설정!$C$4,RawData!$B:$B,설정!$C$5,RawData!$C:$C,설정!$C$7,RawData!$D:$D,설정!$C$9),0)</f>
        <v>6860</v>
      </c>
      <c r="C14" s="55" t="n">
        <f aca="false">IFERROR(AVERAGEIFS(RawData!$G:$G,RawData!$A:$A,설정!$C$4,RawData!$B:$B,설정!$C$5,RawData!$C:$C,설정!$C$8,RawData!$D:$D,설정!$C$9),0)</f>
        <v>11811.1111111111</v>
      </c>
      <c r="D14" s="55" t="n">
        <f aca="false">IFERROR(AVERAGEIFS(RawData!$G:$G,RawData!$A:$A,설정!$C$4,RawData!$B:$B,설정!$C$6,RawData!$C:$C,설정!$C$7,RawData!$D:$D,설정!$C$9),0)</f>
        <v>7625</v>
      </c>
      <c r="E14" s="55" t="n">
        <f aca="false">IFERROR(AVERAGEIFS(RawData!$G:$G,RawData!$A:$A,설정!$C$4,RawData!$B:$B,설정!$C$6,RawData!$C:$C,설정!$C$8,RawData!$D:$D,설정!$C$9),0)</f>
        <v>10690.9090909091</v>
      </c>
      <c r="F14" s="56" t="n">
        <f aca="false">IF(B14=0,0,D14/B14-1)</f>
        <v>0.111516034985423</v>
      </c>
      <c r="G14" s="56" t="n">
        <f aca="false">IF(C14=0,0,E14/C14-1)</f>
        <v>-0.094843068502523</v>
      </c>
    </row>
    <row r="15" customFormat="false" ht="15" hidden="false" customHeight="false" outlineLevel="0" collapsed="false">
      <c r="A15" s="61" t="str">
        <f aca="false">설정!$C$10</f>
        <v>니트</v>
      </c>
      <c r="B15" s="55" t="n">
        <f aca="false">IFERROR(AVERAGEIFS(RawData!$G:$G,RawData!$A:$A,설정!$C$4,RawData!$B:$B,설정!$C$5,RawData!$C:$C,설정!$C$7,RawData!$D:$D,설정!$C$10),0)</f>
        <v>2522.22222222222</v>
      </c>
      <c r="C15" s="55" t="n">
        <f aca="false">IFERROR(AVERAGEIFS(RawData!$G:$G,RawData!$A:$A,설정!$C$4,RawData!$B:$B,설정!$C$5,RawData!$C:$C,설정!$C$8,RawData!$D:$D,설정!$C$10),0)</f>
        <v>3733.33333333333</v>
      </c>
      <c r="D15" s="55" t="n">
        <f aca="false">IFERROR(AVERAGEIFS(RawData!$G:$G,RawData!$A:$A,설정!$C$4,RawData!$B:$B,설정!$C$6,RawData!$C:$C,설정!$C$7,RawData!$D:$D,설정!$C$10),0)</f>
        <v>2640</v>
      </c>
      <c r="E15" s="55" t="n">
        <f aca="false">IFERROR(AVERAGEIFS(RawData!$G:$G,RawData!$A:$A,설정!$C$4,RawData!$B:$B,설정!$C$6,RawData!$C:$C,설정!$C$8,RawData!$D:$D,설정!$C$10),0)</f>
        <v>3666.66666666667</v>
      </c>
      <c r="F15" s="56" t="n">
        <f aca="false">IF(B15=0,0,D15/B15-1)</f>
        <v>0.0466960352422907</v>
      </c>
      <c r="G15" s="56" t="n">
        <f aca="false">IF(C15=0,0,E15/C15-1)</f>
        <v>-0.0178571428571429</v>
      </c>
    </row>
    <row r="16" customFormat="false" ht="15" hidden="false" customHeight="false" outlineLevel="0" collapsed="false">
      <c r="A16" s="61" t="str">
        <f aca="false">설정!$C$11</f>
        <v>셔츠</v>
      </c>
      <c r="B16" s="55" t="n">
        <f aca="false">IFERROR(AVERAGEIFS(RawData!$G:$G,RawData!$A:$A,설정!$C$4,RawData!$B:$B,설정!$C$5,RawData!$C:$C,설정!$C$7,RawData!$D:$D,설정!$C$11),0)</f>
        <v>2158.33333333333</v>
      </c>
      <c r="C16" s="55" t="n">
        <f aca="false">IFERROR(AVERAGEIFS(RawData!$G:$G,RawData!$A:$A,설정!$C$4,RawData!$B:$B,설정!$C$5,RawData!$C:$C,설정!$C$8,RawData!$D:$D,설정!$C$11),0)</f>
        <v>2977.77777777778</v>
      </c>
      <c r="D16" s="55" t="n">
        <f aca="false">IFERROR(AVERAGEIFS(RawData!$G:$G,RawData!$A:$A,설정!$C$4,RawData!$B:$B,설정!$C$6,RawData!$C:$C,설정!$C$7,RawData!$D:$D,설정!$C$11),0)</f>
        <v>2158.33333333333</v>
      </c>
      <c r="E16" s="55" t="n">
        <f aca="false">IFERROR(AVERAGEIFS(RawData!$G:$G,RawData!$A:$A,설정!$C$4,RawData!$B:$B,설정!$C$6,RawData!$C:$C,설정!$C$8,RawData!$D:$D,설정!$C$11),0)</f>
        <v>3200</v>
      </c>
      <c r="F16" s="56" t="n">
        <f aca="false">IF(B16=0,0,D16/B16-1)</f>
        <v>0</v>
      </c>
      <c r="G16" s="56" t="n">
        <f aca="false">IF(C16=0,0,E16/C16-1)</f>
        <v>0.0746268656716418</v>
      </c>
    </row>
    <row r="17" customFormat="false" ht="15" hidden="false" customHeight="false" outlineLevel="0" collapsed="false">
      <c r="A17" s="61" t="str">
        <f aca="false">설정!$C$12</f>
        <v>팬츠</v>
      </c>
      <c r="B17" s="55" t="n">
        <f aca="false">IFERROR(AVERAGEIFS(RawData!$G:$G,RawData!$A:$A,설정!$C$4,RawData!$B:$B,설정!$C$5,RawData!$C:$C,설정!$C$7,RawData!$D:$D,설정!$C$12),0)</f>
        <v>2954.54545454545</v>
      </c>
      <c r="C17" s="55" t="n">
        <f aca="false">IFERROR(AVERAGEIFS(RawData!$G:$G,RawData!$A:$A,설정!$C$4,RawData!$B:$B,설정!$C$5,RawData!$C:$C,설정!$C$8,RawData!$D:$D,설정!$C$12),0)</f>
        <v>4120</v>
      </c>
      <c r="D17" s="55" t="n">
        <f aca="false">IFERROR(AVERAGEIFS(RawData!$G:$G,RawData!$A:$A,설정!$C$4,RawData!$B:$B,설정!$C$6,RawData!$C:$C,설정!$C$7,RawData!$D:$D,설정!$C$12),0)</f>
        <v>3170</v>
      </c>
      <c r="E17" s="55" t="n">
        <f aca="false">IFERROR(AVERAGEIFS(RawData!$G:$G,RawData!$A:$A,설정!$C$4,RawData!$B:$B,설정!$C$6,RawData!$C:$C,설정!$C$8,RawData!$D:$D,설정!$C$12),0)</f>
        <v>4244.44444444444</v>
      </c>
      <c r="F17" s="56" t="n">
        <f aca="false">IF(B17=0,0,D17/B17-1)</f>
        <v>0.0729230769230769</v>
      </c>
      <c r="G17" s="56" t="n">
        <f aca="false">IF(C17=0,0,E17/C17-1)</f>
        <v>0.0302049622437972</v>
      </c>
    </row>
    <row r="18" customFormat="false" ht="15" hidden="false" customHeight="false" outlineLevel="0" collapsed="false">
      <c r="A18" s="61" t="str">
        <f aca="false">설정!$C$13</f>
        <v>스커트</v>
      </c>
      <c r="B18" s="55" t="n">
        <f aca="false">IFERROR(AVERAGEIFS(RawData!$G:$G,RawData!$A:$A,설정!$C$4,RawData!$B:$B,설정!$C$5,RawData!$C:$C,설정!$C$7,RawData!$D:$D,설정!$C$13),0)</f>
        <v>2433.33333333333</v>
      </c>
      <c r="C18" s="55" t="n">
        <f aca="false">IFERROR(AVERAGEIFS(RawData!$G:$G,RawData!$A:$A,설정!$C$4,RawData!$B:$B,설정!$C$5,RawData!$C:$C,설정!$C$8,RawData!$D:$D,설정!$C$13),0)</f>
        <v>3212.5</v>
      </c>
      <c r="D18" s="55" t="n">
        <f aca="false">IFERROR(AVERAGEIFS(RawData!$G:$G,RawData!$A:$A,설정!$C$4,RawData!$B:$B,설정!$C$6,RawData!$C:$C,설정!$C$7,RawData!$D:$D,설정!$C$13),0)</f>
        <v>2708.33333333333</v>
      </c>
      <c r="E18" s="55" t="n">
        <f aca="false">IFERROR(AVERAGEIFS(RawData!$G:$G,RawData!$A:$A,설정!$C$4,RawData!$B:$B,설정!$C$6,RawData!$C:$C,설정!$C$8,RawData!$D:$D,설정!$C$13),0)</f>
        <v>3625</v>
      </c>
      <c r="F18" s="56" t="n">
        <f aca="false">IF(B18=0,0,D18/B18-1)</f>
        <v>0.113013698630137</v>
      </c>
      <c r="G18" s="56" t="n">
        <f aca="false">IF(C18=0,0,E18/C18-1)</f>
        <v>0.1284046692607</v>
      </c>
    </row>
    <row r="19" customFormat="false" ht="15" hidden="false" customHeight="false" outlineLevel="0" collapsed="false">
      <c r="A19" s="61" t="str">
        <f aca="false">설정!$C$14</f>
        <v>원피스</v>
      </c>
      <c r="B19" s="55" t="n">
        <f aca="false">IFERROR(AVERAGEIFS(RawData!$G:$G,RawData!$A:$A,설정!$C$4,RawData!$B:$B,설정!$C$5,RawData!$C:$C,설정!$C$7,RawData!$D:$D,설정!$C$14),0)</f>
        <v>3400</v>
      </c>
      <c r="C19" s="55" t="n">
        <f aca="false">IFERROR(AVERAGEIFS(RawData!$G:$G,RawData!$A:$A,설정!$C$4,RawData!$B:$B,설정!$C$5,RawData!$C:$C,설정!$C$8,RawData!$D:$D,설정!$C$14),0)</f>
        <v>4233.33333333333</v>
      </c>
      <c r="D19" s="55" t="n">
        <f aca="false">IFERROR(AVERAGEIFS(RawData!$G:$G,RawData!$A:$A,설정!$C$4,RawData!$B:$B,설정!$C$6,RawData!$C:$C,설정!$C$7,RawData!$D:$D,설정!$C$14),0)</f>
        <v>3412.5</v>
      </c>
      <c r="E19" s="55" t="n">
        <f aca="false">IFERROR(AVERAGEIFS(RawData!$G:$G,RawData!$A:$A,설정!$C$4,RawData!$B:$B,설정!$C$6,RawData!$C:$C,설정!$C$8,RawData!$D:$D,설정!$C$14),0)</f>
        <v>4766.66666666667</v>
      </c>
      <c r="F19" s="56" t="n">
        <f aca="false">IF(B19=0,0,D19/B19-1)</f>
        <v>0.00367647058823528</v>
      </c>
      <c r="G19" s="56" t="n">
        <f aca="false">IF(C19=0,0,E19/C19-1)</f>
        <v>0.125984251968504</v>
      </c>
    </row>
    <row r="21" customFormat="false" ht="15" hidden="false" customHeight="false" outlineLevel="0" collapsed="false">
      <c r="A21" s="11" t="s">
        <v>308</v>
      </c>
    </row>
    <row r="22" customFormat="false" ht="15" hidden="false" customHeight="false" outlineLevel="0" collapsed="false">
      <c r="A22" s="10" t="s">
        <v>32</v>
      </c>
      <c r="B22" s="10" t="str">
        <f aca="false">설정!$C$5&amp;" "&amp;설정!$C$7</f>
        <v>2025 SS</v>
      </c>
      <c r="C22" s="10" t="str">
        <f aca="false">설정!$C$5&amp;" "&amp;설정!$C$8</f>
        <v>2025 FW</v>
      </c>
      <c r="D22" s="10" t="str">
        <f aca="false">설정!$C$6&amp;" "&amp;설정!$C$7</f>
        <v>2026 SS</v>
      </c>
      <c r="E22" s="10" t="str">
        <f aca="false">설정!$C$6&amp;" "&amp;설정!$C$8</f>
        <v>2026 FW</v>
      </c>
      <c r="F22" s="60" t="s">
        <v>305</v>
      </c>
      <c r="G22" s="60" t="s">
        <v>306</v>
      </c>
    </row>
    <row r="23" customFormat="false" ht="15" hidden="false" customHeight="false" outlineLevel="0" collapsed="false">
      <c r="A23" s="61" t="str">
        <f aca="false">설정!$C$9</f>
        <v>아우터</v>
      </c>
      <c r="B23" s="55" t="n">
        <f aca="false">IFERROR(AVERAGEIFS(RawData!$H:$H,RawData!$A:$A,설정!$C$4,RawData!$B:$B,설정!$C$5,RawData!$C:$C,설정!$C$7,RawData!$D:$D,설정!$C$9),0)</f>
        <v>27200</v>
      </c>
      <c r="C23" s="55" t="n">
        <f aca="false">IFERROR(AVERAGEIFS(RawData!$H:$H,RawData!$A:$A,설정!$C$4,RawData!$B:$B,설정!$C$5,RawData!$C:$C,설정!$C$8,RawData!$D:$D,설정!$C$9),0)</f>
        <v>26966.6666666667</v>
      </c>
      <c r="D23" s="55" t="n">
        <f aca="false">IFERROR(AVERAGEIFS(RawData!$H:$H,RawData!$A:$A,설정!$C$4,RawData!$B:$B,설정!$C$6,RawData!$C:$C,설정!$C$7,RawData!$D:$D,설정!$C$9),0)</f>
        <v>29891.6666666667</v>
      </c>
      <c r="E23" s="55" t="n">
        <f aca="false">IFERROR(AVERAGEIFS(RawData!$H:$H,RawData!$A:$A,설정!$C$4,RawData!$B:$B,설정!$C$6,RawData!$C:$C,설정!$C$8,RawData!$D:$D,설정!$C$9),0)</f>
        <v>30563.6363636364</v>
      </c>
      <c r="F23" s="56" t="n">
        <f aca="false">IF(B23=0,0,D23/B23-1)</f>
        <v>0.0989583333333335</v>
      </c>
      <c r="G23" s="56" t="n">
        <f aca="false">IF(C23=0,0,E23/C23-1)</f>
        <v>0.133385773682436</v>
      </c>
    </row>
    <row r="24" customFormat="false" ht="15" hidden="false" customHeight="false" outlineLevel="0" collapsed="false">
      <c r="A24" s="61" t="str">
        <f aca="false">설정!$C$10</f>
        <v>니트</v>
      </c>
      <c r="B24" s="55" t="n">
        <f aca="false">IFERROR(AVERAGEIFS(RawData!$H:$H,RawData!$A:$A,설정!$C$4,RawData!$B:$B,설정!$C$5,RawData!$C:$C,설정!$C$7,RawData!$D:$D,설정!$C$10),0)</f>
        <v>11933.3333333333</v>
      </c>
      <c r="C24" s="55" t="n">
        <f aca="false">IFERROR(AVERAGEIFS(RawData!$H:$H,RawData!$A:$A,설정!$C$4,RawData!$B:$B,설정!$C$5,RawData!$C:$C,설정!$C$8,RawData!$D:$D,설정!$C$10),0)</f>
        <v>11575</v>
      </c>
      <c r="D24" s="55" t="n">
        <f aca="false">IFERROR(AVERAGEIFS(RawData!$H:$H,RawData!$A:$A,설정!$C$4,RawData!$B:$B,설정!$C$6,RawData!$C:$C,설정!$C$7,RawData!$D:$D,설정!$C$10),0)</f>
        <v>12130</v>
      </c>
      <c r="E24" s="55" t="n">
        <f aca="false">IFERROR(AVERAGEIFS(RawData!$H:$H,RawData!$A:$A,설정!$C$4,RawData!$B:$B,설정!$C$6,RawData!$C:$C,설정!$C$8,RawData!$D:$D,설정!$C$10),0)</f>
        <v>13000</v>
      </c>
      <c r="F24" s="56" t="n">
        <f aca="false">IF(B24=0,0,D24/B24-1)</f>
        <v>0.0164804469273743</v>
      </c>
      <c r="G24" s="56" t="n">
        <f aca="false">IF(C24=0,0,E24/C24-1)</f>
        <v>0.123110151187905</v>
      </c>
    </row>
    <row r="25" customFormat="false" ht="15" hidden="false" customHeight="false" outlineLevel="0" collapsed="false">
      <c r="A25" s="61" t="str">
        <f aca="false">설정!$C$11</f>
        <v>셔츠</v>
      </c>
      <c r="B25" s="55" t="n">
        <f aca="false">IFERROR(AVERAGEIFS(RawData!$H:$H,RawData!$A:$A,설정!$C$4,RawData!$B:$B,설정!$C$5,RawData!$C:$C,설정!$C$7,RawData!$D:$D,설정!$C$11),0)</f>
        <v>7858.33333333333</v>
      </c>
      <c r="C25" s="55" t="n">
        <f aca="false">IFERROR(AVERAGEIFS(RawData!$H:$H,RawData!$A:$A,설정!$C$4,RawData!$B:$B,설정!$C$5,RawData!$C:$C,설정!$C$8,RawData!$D:$D,설정!$C$11),0)</f>
        <v>7966.66666666667</v>
      </c>
      <c r="D25" s="55" t="n">
        <f aca="false">IFERROR(AVERAGEIFS(RawData!$H:$H,RawData!$A:$A,설정!$C$4,RawData!$B:$B,설정!$C$6,RawData!$C:$C,설정!$C$7,RawData!$D:$D,설정!$C$11),0)</f>
        <v>8833.33333333333</v>
      </c>
      <c r="E25" s="55" t="n">
        <f aca="false">IFERROR(AVERAGEIFS(RawData!$H:$H,RawData!$A:$A,설정!$C$4,RawData!$B:$B,설정!$C$6,RawData!$C:$C,설정!$C$8,RawData!$D:$D,설정!$C$11),0)</f>
        <v>8662.5</v>
      </c>
      <c r="F25" s="56" t="n">
        <f aca="false">IF(B25=0,0,D25/B25-1)</f>
        <v>0.12407211028632</v>
      </c>
      <c r="G25" s="56" t="n">
        <f aca="false">IF(C25=0,0,E25/C25-1)</f>
        <v>0.0873430962343096</v>
      </c>
    </row>
    <row r="26" customFormat="false" ht="15" hidden="false" customHeight="false" outlineLevel="0" collapsed="false">
      <c r="A26" s="61" t="str">
        <f aca="false">설정!$C$12</f>
        <v>팬츠</v>
      </c>
      <c r="B26" s="55" t="n">
        <f aca="false">IFERROR(AVERAGEIFS(RawData!$H:$H,RawData!$A:$A,설정!$C$4,RawData!$B:$B,설정!$C$5,RawData!$C:$C,설정!$C$7,RawData!$D:$D,설정!$C$12),0)</f>
        <v>9272.72727272727</v>
      </c>
      <c r="C26" s="55" t="n">
        <f aca="false">IFERROR(AVERAGEIFS(RawData!$H:$H,RawData!$A:$A,설정!$C$4,RawData!$B:$B,설정!$C$5,RawData!$C:$C,설정!$C$8,RawData!$D:$D,설정!$C$12),0)</f>
        <v>9230</v>
      </c>
      <c r="D26" s="55" t="n">
        <f aca="false">IFERROR(AVERAGEIFS(RawData!$H:$H,RawData!$A:$A,설정!$C$4,RawData!$B:$B,설정!$C$6,RawData!$C:$C,설정!$C$7,RawData!$D:$D,설정!$C$12),0)</f>
        <v>9890</v>
      </c>
      <c r="E26" s="55" t="n">
        <f aca="false">IFERROR(AVERAGEIFS(RawData!$H:$H,RawData!$A:$A,설정!$C$4,RawData!$B:$B,설정!$C$6,RawData!$C:$C,설정!$C$8,RawData!$D:$D,설정!$C$12),0)</f>
        <v>9933.33333333333</v>
      </c>
      <c r="F26" s="56" t="n">
        <f aca="false">IF(B26=0,0,D26/B26-1)</f>
        <v>0.0665686274509805</v>
      </c>
      <c r="G26" s="56" t="n">
        <f aca="false">IF(C26=0,0,E26/C26-1)</f>
        <v>0.0762007945106538</v>
      </c>
    </row>
    <row r="27" customFormat="false" ht="15" hidden="false" customHeight="false" outlineLevel="0" collapsed="false">
      <c r="A27" s="61" t="str">
        <f aca="false">설정!$C$13</f>
        <v>스커트</v>
      </c>
      <c r="B27" s="55" t="n">
        <f aca="false">IFERROR(AVERAGEIFS(RawData!$H:$H,RawData!$A:$A,설정!$C$4,RawData!$B:$B,설정!$C$5,RawData!$C:$C,설정!$C$7,RawData!$D:$D,설정!$C$13),0)</f>
        <v>8000</v>
      </c>
      <c r="C27" s="55" t="n">
        <f aca="false">IFERROR(AVERAGEIFS(RawData!$H:$H,RawData!$A:$A,설정!$C$4,RawData!$B:$B,설정!$C$5,RawData!$C:$C,설정!$C$8,RawData!$D:$D,설정!$C$13),0)</f>
        <v>8450</v>
      </c>
      <c r="D27" s="55" t="n">
        <f aca="false">IFERROR(AVERAGEIFS(RawData!$H:$H,RawData!$A:$A,설정!$C$4,RawData!$B:$B,설정!$C$6,RawData!$C:$C,설정!$C$7,RawData!$D:$D,설정!$C$13),0)</f>
        <v>9258.33333333333</v>
      </c>
      <c r="E27" s="55" t="n">
        <f aca="false">IFERROR(AVERAGEIFS(RawData!$H:$H,RawData!$A:$A,설정!$C$4,RawData!$B:$B,설정!$C$6,RawData!$C:$C,설정!$C$8,RawData!$D:$D,설정!$C$13),0)</f>
        <v>8925</v>
      </c>
      <c r="F27" s="56" t="n">
        <f aca="false">IF(B27=0,0,D27/B27-1)</f>
        <v>0.157291666666667</v>
      </c>
      <c r="G27" s="56" t="n">
        <f aca="false">IF(C27=0,0,E27/C27-1)</f>
        <v>0.0562130177514792</v>
      </c>
    </row>
    <row r="28" customFormat="false" ht="15" hidden="false" customHeight="false" outlineLevel="0" collapsed="false">
      <c r="A28" s="61" t="str">
        <f aca="false">설정!$C$14</f>
        <v>원피스</v>
      </c>
      <c r="B28" s="55" t="n">
        <f aca="false">IFERROR(AVERAGEIFS(RawData!$H:$H,RawData!$A:$A,설정!$C$4,RawData!$B:$B,설정!$C$5,RawData!$C:$C,설정!$C$7,RawData!$D:$D,설정!$C$14),0)</f>
        <v>13166.6666666667</v>
      </c>
      <c r="C28" s="55" t="n">
        <f aca="false">IFERROR(AVERAGEIFS(RawData!$H:$H,RawData!$A:$A,설정!$C$4,RawData!$B:$B,설정!$C$5,RawData!$C:$C,설정!$C$8,RawData!$D:$D,설정!$C$14),0)</f>
        <v>12758.3333333333</v>
      </c>
      <c r="D28" s="55" t="n">
        <f aca="false">IFERROR(AVERAGEIFS(RawData!$H:$H,RawData!$A:$A,설정!$C$4,RawData!$B:$B,설정!$C$6,RawData!$C:$C,설정!$C$7,RawData!$D:$D,설정!$C$14),0)</f>
        <v>13475</v>
      </c>
      <c r="E28" s="55" t="n">
        <f aca="false">IFERROR(AVERAGEIFS(RawData!$H:$H,RawData!$A:$A,설정!$C$4,RawData!$B:$B,설정!$C$6,RawData!$C:$C,설정!$C$8,RawData!$D:$D,설정!$C$14),0)</f>
        <v>13458.3333333333</v>
      </c>
      <c r="F28" s="56" t="n">
        <f aca="false">IF(B28=0,0,D28/B28-1)</f>
        <v>0.0234177215189875</v>
      </c>
      <c r="G28" s="56" t="n">
        <f aca="false">IF(C28=0,0,E28/C28-1)</f>
        <v>0.054866100587851</v>
      </c>
    </row>
    <row r="30" customFormat="false" ht="15" hidden="false" customHeight="false" outlineLevel="0" collapsed="false">
      <c r="A30" s="11" t="s">
        <v>309</v>
      </c>
    </row>
    <row r="31" customFormat="false" ht="15" hidden="false" customHeight="false" outlineLevel="0" collapsed="false">
      <c r="A31" s="10" t="s">
        <v>32</v>
      </c>
      <c r="B31" s="10" t="str">
        <f aca="false">설정!$C$5&amp;" "&amp;설정!$C$7</f>
        <v>2025 SS</v>
      </c>
      <c r="C31" s="10" t="str">
        <f aca="false">설정!$C$5&amp;" "&amp;설정!$C$8</f>
        <v>2025 FW</v>
      </c>
      <c r="D31" s="10" t="str">
        <f aca="false">설정!$C$6&amp;" "&amp;설정!$C$7</f>
        <v>2026 SS</v>
      </c>
      <c r="E31" s="10" t="str">
        <f aca="false">설정!$C$6&amp;" "&amp;설정!$C$8</f>
        <v>2026 FW</v>
      </c>
      <c r="F31" s="60" t="s">
        <v>305</v>
      </c>
      <c r="G31" s="60" t="s">
        <v>306</v>
      </c>
    </row>
    <row r="32" customFormat="false" ht="15" hidden="false" customHeight="false" outlineLevel="0" collapsed="false">
      <c r="A32" s="61" t="str">
        <f aca="false">설정!$C$9</f>
        <v>아우터</v>
      </c>
      <c r="B32" s="55" t="n">
        <f aca="false">B5+B14+B23</f>
        <v>80290</v>
      </c>
      <c r="C32" s="55" t="n">
        <f aca="false">C5+C14+C23</f>
        <v>96455.5555555556</v>
      </c>
      <c r="D32" s="55" t="n">
        <f aca="false">D5+D14+D23</f>
        <v>84125</v>
      </c>
      <c r="E32" s="55" t="n">
        <f aca="false">E5+E14+E23</f>
        <v>104109.090909091</v>
      </c>
      <c r="F32" s="56" t="n">
        <f aca="false">IF(B32=0,0,D32/B32-1)</f>
        <v>0.0477643542159671</v>
      </c>
      <c r="G32" s="56" t="n">
        <f aca="false">IF(C32=0,0,E32/C32-1)</f>
        <v>0.0793477919385073</v>
      </c>
    </row>
    <row r="33" customFormat="false" ht="15" hidden="false" customHeight="false" outlineLevel="0" collapsed="false">
      <c r="A33" s="61" t="str">
        <f aca="false">설정!$C$10</f>
        <v>니트</v>
      </c>
      <c r="B33" s="55" t="n">
        <f aca="false">B6+B15+B24</f>
        <v>31688.8888888889</v>
      </c>
      <c r="C33" s="55" t="n">
        <f aca="false">C6+C15+C24</f>
        <v>38991.6666666667</v>
      </c>
      <c r="D33" s="55" t="n">
        <f aca="false">D6+D15+D24</f>
        <v>33470</v>
      </c>
      <c r="E33" s="55" t="n">
        <f aca="false">E6+E15+E24</f>
        <v>40844.4444444444</v>
      </c>
      <c r="F33" s="56" t="n">
        <f aca="false">IF(B33=0,0,D33/B33-1)</f>
        <v>0.0562061711079944</v>
      </c>
      <c r="G33" s="56" t="n">
        <f aca="false">IF(C33=0,0,E33/C33-1)</f>
        <v>0.0475172757711764</v>
      </c>
    </row>
    <row r="34" customFormat="false" ht="15" hidden="false" customHeight="false" outlineLevel="0" collapsed="false">
      <c r="A34" s="61" t="str">
        <f aca="false">설정!$C$11</f>
        <v>셔츠</v>
      </c>
      <c r="B34" s="55" t="n">
        <f aca="false">B7+B16+B25</f>
        <v>19683.3333333333</v>
      </c>
      <c r="C34" s="55" t="n">
        <f aca="false">C7+C16+C25</f>
        <v>23955.5555555556</v>
      </c>
      <c r="D34" s="55" t="n">
        <f aca="false">D7+D16+D25</f>
        <v>21233.3333333333</v>
      </c>
      <c r="E34" s="55" t="n">
        <f aca="false">E7+E16+E25</f>
        <v>25312.5</v>
      </c>
      <c r="F34" s="56" t="n">
        <f aca="false">IF(B34=0,0,D34/B34-1)</f>
        <v>0.0787468247248098</v>
      </c>
      <c r="G34" s="56" t="n">
        <f aca="false">IF(C34=0,0,E34/C34-1)</f>
        <v>0.0566442486085343</v>
      </c>
    </row>
    <row r="35" customFormat="false" ht="15" hidden="false" customHeight="false" outlineLevel="0" collapsed="false">
      <c r="A35" s="61" t="str">
        <f aca="false">설정!$C$12</f>
        <v>팬츠</v>
      </c>
      <c r="B35" s="55" t="n">
        <f aca="false">B8+B17+B26</f>
        <v>24463.6363636364</v>
      </c>
      <c r="C35" s="55" t="n">
        <f aca="false">C8+C17+C26</f>
        <v>29460</v>
      </c>
      <c r="D35" s="55" t="n">
        <f aca="false">D8+D17+D26</f>
        <v>25930</v>
      </c>
      <c r="E35" s="55" t="n">
        <f aca="false">E8+E17+E26</f>
        <v>30877.7777777778</v>
      </c>
      <c r="F35" s="56" t="n">
        <f aca="false">IF(B35=0,0,D35/B35-1)</f>
        <v>0.0599405425492383</v>
      </c>
      <c r="G35" s="56" t="n">
        <f aca="false">IF(C35=0,0,E35/C35-1)</f>
        <v>0.0481255185939504</v>
      </c>
    </row>
    <row r="36" customFormat="false" ht="15" hidden="false" customHeight="false" outlineLevel="0" collapsed="false">
      <c r="A36" s="61" t="str">
        <f aca="false">설정!$C$13</f>
        <v>스커트</v>
      </c>
      <c r="B36" s="55" t="n">
        <f aca="false">B9+B18+B27</f>
        <v>20483.3333333333</v>
      </c>
      <c r="C36" s="55" t="n">
        <f aca="false">C9+C18+C27</f>
        <v>25700</v>
      </c>
      <c r="D36" s="55" t="n">
        <f aca="false">D9+D18+D27</f>
        <v>22241.6666666667</v>
      </c>
      <c r="E36" s="55" t="n">
        <f aca="false">E9+E18+E27</f>
        <v>26062.5</v>
      </c>
      <c r="F36" s="56" t="n">
        <f aca="false">IF(B36=0,0,D36/B36-1)</f>
        <v>0.0858421480878762</v>
      </c>
      <c r="G36" s="56" t="n">
        <f aca="false">IF(C36=0,0,E36/C36-1)</f>
        <v>0.0141050583657587</v>
      </c>
    </row>
    <row r="37" customFormat="false" ht="15" hidden="false" customHeight="false" outlineLevel="0" collapsed="false">
      <c r="A37" s="61" t="str">
        <f aca="false">설정!$C$14</f>
        <v>원피스</v>
      </c>
      <c r="B37" s="55" t="n">
        <f aca="false">B10+B19+B28</f>
        <v>32322.2222222222</v>
      </c>
      <c r="C37" s="55" t="n">
        <f aca="false">C10+C19+C28</f>
        <v>38400</v>
      </c>
      <c r="D37" s="55" t="n">
        <f aca="false">D10+D19+D28</f>
        <v>34037.5</v>
      </c>
      <c r="E37" s="55" t="n">
        <f aca="false">E10+E19+E28</f>
        <v>40341.6666666667</v>
      </c>
      <c r="F37" s="56" t="n">
        <f aca="false">IF(B37=0,0,D37/B37-1)</f>
        <v>0.0530680646270196</v>
      </c>
      <c r="G37" s="56" t="n">
        <f aca="false">IF(C37=0,0,E37/C37-1)</f>
        <v>0.0505642361111112</v>
      </c>
    </row>
    <row r="39" customFormat="false" ht="15" hidden="false" customHeight="false" outlineLevel="0" collapsed="false">
      <c r="A39" s="11" t="s">
        <v>310</v>
      </c>
      <c r="C39" s="2" t="str">
        <f aca="false">"기준: "&amp;설정!$C$15&amp;" "&amp;설정!$C$16&amp;"  /  비교: "&amp;(설정!$C$15-1)&amp;" "&amp;설정!$C$16</f>
        <v>기준: 2026 FW  /  비교: 2025 FW</v>
      </c>
    </row>
    <row r="40" customFormat="false" ht="15" hidden="false" customHeight="false" outlineLevel="0" collapsed="false">
      <c r="A40" s="10" t="s">
        <v>32</v>
      </c>
      <c r="B40" s="10" t="s">
        <v>34</v>
      </c>
      <c r="C40" s="10" t="s">
        <v>35</v>
      </c>
      <c r="D40" s="10" t="s">
        <v>36</v>
      </c>
      <c r="E40" s="10" t="s">
        <v>299</v>
      </c>
      <c r="F40" s="10" t="s">
        <v>300</v>
      </c>
      <c r="G40" s="10" t="s">
        <v>301</v>
      </c>
      <c r="H40" s="10" t="s">
        <v>302</v>
      </c>
      <c r="I40" s="10" t="s">
        <v>311</v>
      </c>
      <c r="J40" s="10" t="s">
        <v>312</v>
      </c>
    </row>
    <row r="41" customFormat="false" ht="15" hidden="false" customHeight="false" outlineLevel="0" collapsed="false">
      <c r="A41" s="61" t="str">
        <f aca="false">설정!$C$9</f>
        <v>아우터</v>
      </c>
      <c r="B41" s="55" t="n">
        <f aca="false">IFERROR(AVERAGEIFS(RawData!$F:$F,RawData!$A:$A,설정!$C$4,RawData!$B:$B,설정!$C$15,RawData!$C:$C,설정!$C$16,RawData!$D:$D,설정!$C$9),0)</f>
        <v>62854.5454545455</v>
      </c>
      <c r="C41" s="55" t="n">
        <f aca="false">IFERROR(AVERAGEIFS(RawData!$G:$G,RawData!$A:$A,설정!$C$4,RawData!$B:$B,설정!$C$15,RawData!$C:$C,설정!$C$16,RawData!$D:$D,설정!$C$9),0)</f>
        <v>10690.9090909091</v>
      </c>
      <c r="D41" s="55" t="n">
        <f aca="false">IFERROR(AVERAGEIFS(RawData!$H:$H,RawData!$A:$A,설정!$C$4,RawData!$B:$B,설정!$C$15,RawData!$C:$C,설정!$C$16,RawData!$D:$D,설정!$C$9),0)</f>
        <v>30563.6363636364</v>
      </c>
      <c r="E41" s="55" t="n">
        <f aca="false">SUM(B41:D41)</f>
        <v>104109.090909091</v>
      </c>
      <c r="F41" s="56" t="n">
        <f aca="false">IF($E41=0,0,B41/$E41)</f>
        <v>0.603737338456165</v>
      </c>
      <c r="G41" s="56" t="n">
        <f aca="false">IF($E41=0,0,C41/$E41)</f>
        <v>0.102689486552567</v>
      </c>
      <c r="H41" s="56" t="n">
        <f aca="false">IF($E41=0,0,D41/$E41)</f>
        <v>0.293573174991268</v>
      </c>
      <c r="I41" s="55" t="n">
        <f aca="false">IFERROR(AVERAGEIFS(RawData!$F:$F,RawData!$A:$A,설정!$C$4,RawData!$B:$B,(설정!$C$15-1),RawData!$C:$C,설정!$C$16,RawData!$D:$D,설정!$C$9),0)+IFERROR(AVERAGEIFS(RawData!$G:$G,RawData!$A:$A,설정!$C$4,RawData!$B:$B,(설정!$C$15-1),RawData!$C:$C,설정!$C$16,RawData!$D:$D,설정!$C$9),0)+IFERROR(AVERAGEIFS(RawData!$H:$H,RawData!$A:$A,설정!$C$4,RawData!$B:$B,(설정!$C$15-1),RawData!$C:$C,설정!$C$16,RawData!$D:$D,설정!$C$9),0)</f>
        <v>96455.5555555556</v>
      </c>
      <c r="J41" s="56" t="n">
        <f aca="false">IF(I41=0,0,E41/I41-1)</f>
        <v>0.0793477919385073</v>
      </c>
    </row>
    <row r="42" customFormat="false" ht="15" hidden="false" customHeight="false" outlineLevel="0" collapsed="false">
      <c r="A42" s="61" t="str">
        <f aca="false">설정!$C$10</f>
        <v>니트</v>
      </c>
      <c r="B42" s="55" t="n">
        <f aca="false">IFERROR(AVERAGEIFS(RawData!$F:$F,RawData!$A:$A,설정!$C$4,RawData!$B:$B,설정!$C$15,RawData!$C:$C,설정!$C$16,RawData!$D:$D,설정!$C$10),0)</f>
        <v>24177.7777777778</v>
      </c>
      <c r="C42" s="55" t="n">
        <f aca="false">IFERROR(AVERAGEIFS(RawData!$G:$G,RawData!$A:$A,설정!$C$4,RawData!$B:$B,설정!$C$15,RawData!$C:$C,설정!$C$16,RawData!$D:$D,설정!$C$10),0)</f>
        <v>3666.66666666667</v>
      </c>
      <c r="D42" s="55" t="n">
        <f aca="false">IFERROR(AVERAGEIFS(RawData!$H:$H,RawData!$A:$A,설정!$C$4,RawData!$B:$B,설정!$C$15,RawData!$C:$C,설정!$C$16,RawData!$D:$D,설정!$C$10),0)</f>
        <v>13000</v>
      </c>
      <c r="E42" s="55" t="n">
        <f aca="false">SUM(B42:D42)</f>
        <v>40844.4444444444</v>
      </c>
      <c r="F42" s="56" t="n">
        <f aca="false">IF($E42=0,0,B42/$E42)</f>
        <v>0.591947769314472</v>
      </c>
      <c r="G42" s="56" t="n">
        <f aca="false">IF($E42=0,0,C42/$E42)</f>
        <v>0.0897714907508161</v>
      </c>
      <c r="H42" s="56" t="n">
        <f aca="false">IF($E42=0,0,D42/$E42)</f>
        <v>0.318280739934712</v>
      </c>
      <c r="I42" s="55" t="n">
        <f aca="false">IFERROR(AVERAGEIFS(RawData!$F:$F,RawData!$A:$A,설정!$C$4,RawData!$B:$B,(설정!$C$15-1),RawData!$C:$C,설정!$C$16,RawData!$D:$D,설정!$C$10),0)+IFERROR(AVERAGEIFS(RawData!$G:$G,RawData!$A:$A,설정!$C$4,RawData!$B:$B,(설정!$C$15-1),RawData!$C:$C,설정!$C$16,RawData!$D:$D,설정!$C$10),0)+IFERROR(AVERAGEIFS(RawData!$H:$H,RawData!$A:$A,설정!$C$4,RawData!$B:$B,(설정!$C$15-1),RawData!$C:$C,설정!$C$16,RawData!$D:$D,설정!$C$10),0)</f>
        <v>38991.6666666667</v>
      </c>
      <c r="J42" s="56" t="n">
        <f aca="false">IF(I42=0,0,E42/I42-1)</f>
        <v>0.0475172757711764</v>
      </c>
    </row>
    <row r="43" customFormat="false" ht="15" hidden="false" customHeight="false" outlineLevel="0" collapsed="false">
      <c r="A43" s="61" t="str">
        <f aca="false">설정!$C$11</f>
        <v>셔츠</v>
      </c>
      <c r="B43" s="55" t="n">
        <f aca="false">IFERROR(AVERAGEIFS(RawData!$F:$F,RawData!$A:$A,설정!$C$4,RawData!$B:$B,설정!$C$15,RawData!$C:$C,설정!$C$16,RawData!$D:$D,설정!$C$11),0)</f>
        <v>13450</v>
      </c>
      <c r="C43" s="55" t="n">
        <f aca="false">IFERROR(AVERAGEIFS(RawData!$G:$G,RawData!$A:$A,설정!$C$4,RawData!$B:$B,설정!$C$15,RawData!$C:$C,설정!$C$16,RawData!$D:$D,설정!$C$11),0)</f>
        <v>3200</v>
      </c>
      <c r="D43" s="55" t="n">
        <f aca="false">IFERROR(AVERAGEIFS(RawData!$H:$H,RawData!$A:$A,설정!$C$4,RawData!$B:$B,설정!$C$15,RawData!$C:$C,설정!$C$16,RawData!$D:$D,설정!$C$11),0)</f>
        <v>8662.5</v>
      </c>
      <c r="E43" s="55" t="n">
        <f aca="false">SUM(B43:D43)</f>
        <v>25312.5</v>
      </c>
      <c r="F43" s="56" t="n">
        <f aca="false">IF($E43=0,0,B43/$E43)</f>
        <v>0.531358024691358</v>
      </c>
      <c r="G43" s="56" t="n">
        <f aca="false">IF($E43=0,0,C43/$E43)</f>
        <v>0.12641975308642</v>
      </c>
      <c r="H43" s="56" t="n">
        <f aca="false">IF($E43=0,0,D43/$E43)</f>
        <v>0.342222222222222</v>
      </c>
      <c r="I43" s="55" t="n">
        <f aca="false">IFERROR(AVERAGEIFS(RawData!$F:$F,RawData!$A:$A,설정!$C$4,RawData!$B:$B,(설정!$C$15-1),RawData!$C:$C,설정!$C$16,RawData!$D:$D,설정!$C$11),0)+IFERROR(AVERAGEIFS(RawData!$G:$G,RawData!$A:$A,설정!$C$4,RawData!$B:$B,(설정!$C$15-1),RawData!$C:$C,설정!$C$16,RawData!$D:$D,설정!$C$11),0)+IFERROR(AVERAGEIFS(RawData!$H:$H,RawData!$A:$A,설정!$C$4,RawData!$B:$B,(설정!$C$15-1),RawData!$C:$C,설정!$C$16,RawData!$D:$D,설정!$C$11),0)</f>
        <v>23955.5555555556</v>
      </c>
      <c r="J43" s="56" t="n">
        <f aca="false">IF(I43=0,0,E43/I43-1)</f>
        <v>0.0566442486085343</v>
      </c>
    </row>
    <row r="44" customFormat="false" ht="15" hidden="false" customHeight="false" outlineLevel="0" collapsed="false">
      <c r="A44" s="61" t="str">
        <f aca="false">설정!$C$12</f>
        <v>팬츠</v>
      </c>
      <c r="B44" s="55" t="n">
        <f aca="false">IFERROR(AVERAGEIFS(RawData!$F:$F,RawData!$A:$A,설정!$C$4,RawData!$B:$B,설정!$C$15,RawData!$C:$C,설정!$C$16,RawData!$D:$D,설정!$C$12),0)</f>
        <v>16700</v>
      </c>
      <c r="C44" s="55" t="n">
        <f aca="false">IFERROR(AVERAGEIFS(RawData!$G:$G,RawData!$A:$A,설정!$C$4,RawData!$B:$B,설정!$C$15,RawData!$C:$C,설정!$C$16,RawData!$D:$D,설정!$C$12),0)</f>
        <v>4244.44444444444</v>
      </c>
      <c r="D44" s="55" t="n">
        <f aca="false">IFERROR(AVERAGEIFS(RawData!$H:$H,RawData!$A:$A,설정!$C$4,RawData!$B:$B,설정!$C$15,RawData!$C:$C,설정!$C$16,RawData!$D:$D,설정!$C$12),0)</f>
        <v>9933.33333333333</v>
      </c>
      <c r="E44" s="55" t="n">
        <f aca="false">SUM(B44:D44)</f>
        <v>30877.7777777778</v>
      </c>
      <c r="F44" s="56" t="n">
        <f aca="false">IF($E44=0,0,B44/$E44)</f>
        <v>0.540842029507017</v>
      </c>
      <c r="G44" s="56" t="n">
        <f aca="false">IF($E44=0,0,C44/$E44)</f>
        <v>0.137459517812163</v>
      </c>
      <c r="H44" s="56" t="n">
        <f aca="false">IF($E44=0,0,D44/$E44)</f>
        <v>0.32169845268082</v>
      </c>
      <c r="I44" s="55" t="n">
        <f aca="false">IFERROR(AVERAGEIFS(RawData!$F:$F,RawData!$A:$A,설정!$C$4,RawData!$B:$B,(설정!$C$15-1),RawData!$C:$C,설정!$C$16,RawData!$D:$D,설정!$C$12),0)+IFERROR(AVERAGEIFS(RawData!$G:$G,RawData!$A:$A,설정!$C$4,RawData!$B:$B,(설정!$C$15-1),RawData!$C:$C,설정!$C$16,RawData!$D:$D,설정!$C$12),0)+IFERROR(AVERAGEIFS(RawData!$H:$H,RawData!$A:$A,설정!$C$4,RawData!$B:$B,(설정!$C$15-1),RawData!$C:$C,설정!$C$16,RawData!$D:$D,설정!$C$12),0)</f>
        <v>29460</v>
      </c>
      <c r="J44" s="56" t="n">
        <f aca="false">IF(I44=0,0,E44/I44-1)</f>
        <v>0.0481255185939504</v>
      </c>
    </row>
    <row r="45" customFormat="false" ht="15" hidden="false" customHeight="false" outlineLevel="0" collapsed="false">
      <c r="A45" s="61" t="str">
        <f aca="false">설정!$C$13</f>
        <v>스커트</v>
      </c>
      <c r="B45" s="55" t="n">
        <f aca="false">IFERROR(AVERAGEIFS(RawData!$F:$F,RawData!$A:$A,설정!$C$4,RawData!$B:$B,설정!$C$15,RawData!$C:$C,설정!$C$16,RawData!$D:$D,설정!$C$13),0)</f>
        <v>13512.5</v>
      </c>
      <c r="C45" s="55" t="n">
        <f aca="false">IFERROR(AVERAGEIFS(RawData!$G:$G,RawData!$A:$A,설정!$C$4,RawData!$B:$B,설정!$C$15,RawData!$C:$C,설정!$C$16,RawData!$D:$D,설정!$C$13),0)</f>
        <v>3625</v>
      </c>
      <c r="D45" s="55" t="n">
        <f aca="false">IFERROR(AVERAGEIFS(RawData!$H:$H,RawData!$A:$A,설정!$C$4,RawData!$B:$B,설정!$C$15,RawData!$C:$C,설정!$C$16,RawData!$D:$D,설정!$C$13),0)</f>
        <v>8925</v>
      </c>
      <c r="E45" s="55" t="n">
        <f aca="false">SUM(B45:D45)</f>
        <v>26062.5</v>
      </c>
      <c r="F45" s="56" t="n">
        <f aca="false">IF($E45=0,0,B45/$E45)</f>
        <v>0.518465227817746</v>
      </c>
      <c r="G45" s="56" t="n">
        <f aca="false">IF($E45=0,0,C45/$E45)</f>
        <v>0.139088729016787</v>
      </c>
      <c r="H45" s="56" t="n">
        <f aca="false">IF($E45=0,0,D45/$E45)</f>
        <v>0.342446043165468</v>
      </c>
      <c r="I45" s="55" t="n">
        <f aca="false">IFERROR(AVERAGEIFS(RawData!$F:$F,RawData!$A:$A,설정!$C$4,RawData!$B:$B,(설정!$C$15-1),RawData!$C:$C,설정!$C$16,RawData!$D:$D,설정!$C$13),0)+IFERROR(AVERAGEIFS(RawData!$G:$G,RawData!$A:$A,설정!$C$4,RawData!$B:$B,(설정!$C$15-1),RawData!$C:$C,설정!$C$16,RawData!$D:$D,설정!$C$13),0)+IFERROR(AVERAGEIFS(RawData!$H:$H,RawData!$A:$A,설정!$C$4,RawData!$B:$B,(설정!$C$15-1),RawData!$C:$C,설정!$C$16,RawData!$D:$D,설정!$C$13),0)</f>
        <v>25700</v>
      </c>
      <c r="J45" s="56" t="n">
        <f aca="false">IF(I45=0,0,E45/I45-1)</f>
        <v>0.0141050583657587</v>
      </c>
    </row>
    <row r="46" customFormat="false" ht="15" hidden="false" customHeight="false" outlineLevel="0" collapsed="false">
      <c r="A46" s="61" t="str">
        <f aca="false">설정!$C$14</f>
        <v>원피스</v>
      </c>
      <c r="B46" s="55" t="n">
        <f aca="false">IFERROR(AVERAGEIFS(RawData!$F:$F,RawData!$A:$A,설정!$C$4,RawData!$B:$B,설정!$C$15,RawData!$C:$C,설정!$C$16,RawData!$D:$D,설정!$C$14),0)</f>
        <v>22116.6666666667</v>
      </c>
      <c r="C46" s="55" t="n">
        <f aca="false">IFERROR(AVERAGEIFS(RawData!$G:$G,RawData!$A:$A,설정!$C$4,RawData!$B:$B,설정!$C$15,RawData!$C:$C,설정!$C$16,RawData!$D:$D,설정!$C$14),0)</f>
        <v>4766.66666666667</v>
      </c>
      <c r="D46" s="55" t="n">
        <f aca="false">IFERROR(AVERAGEIFS(RawData!$H:$H,RawData!$A:$A,설정!$C$4,RawData!$B:$B,설정!$C$15,RawData!$C:$C,설정!$C$16,RawData!$D:$D,설정!$C$14),0)</f>
        <v>13458.3333333333</v>
      </c>
      <c r="E46" s="55" t="n">
        <f aca="false">SUM(B46:D46)</f>
        <v>40341.6666666667</v>
      </c>
      <c r="F46" s="56" t="n">
        <f aca="false">IF($E46=0,0,B46/$E46)</f>
        <v>0.548233835984301</v>
      </c>
      <c r="G46" s="56" t="n">
        <f aca="false">IF($E46=0,0,C46/$E46)</f>
        <v>0.118157405494732</v>
      </c>
      <c r="H46" s="56" t="n">
        <f aca="false">IF($E46=0,0,D46/$E46)</f>
        <v>0.333608758520967</v>
      </c>
      <c r="I46" s="55" t="n">
        <f aca="false">IFERROR(AVERAGEIFS(RawData!$F:$F,RawData!$A:$A,설정!$C$4,RawData!$B:$B,(설정!$C$15-1),RawData!$C:$C,설정!$C$16,RawData!$D:$D,설정!$C$14),0)+IFERROR(AVERAGEIFS(RawData!$G:$G,RawData!$A:$A,설정!$C$4,RawData!$B:$B,(설정!$C$15-1),RawData!$C:$C,설정!$C$16,RawData!$D:$D,설정!$C$14),0)+IFERROR(AVERAGEIFS(RawData!$H:$H,RawData!$A:$A,설정!$C$4,RawData!$B:$B,(설정!$C$15-1),RawData!$C:$C,설정!$C$16,RawData!$D:$D,설정!$C$14),0)</f>
        <v>38400</v>
      </c>
      <c r="J46" s="56" t="n">
        <f aca="false">IF(I46=0,0,E46/I46-1)</f>
        <v>0.0505642361111112</v>
      </c>
    </row>
    <row r="47" customFormat="false" ht="15" hidden="false" customHeight="false" outlineLevel="0" collapsed="false">
      <c r="A47" s="62" t="s">
        <v>313</v>
      </c>
      <c r="B47" s="63" t="n">
        <f aca="false">AVERAGE(B41:B46)</f>
        <v>25468.5816498317</v>
      </c>
      <c r="C47" s="63" t="n">
        <f aca="false">AVERAGE(C41:C46)</f>
        <v>5032.28114478115</v>
      </c>
      <c r="D47" s="63" t="n">
        <f aca="false">AVERAGE(D41:D46)</f>
        <v>14090.4671717172</v>
      </c>
      <c r="E47" s="63" t="n">
        <f aca="false">AVERAGE(E41:E46)</f>
        <v>44591.32996633</v>
      </c>
      <c r="F47" s="64" t="n">
        <f aca="false">IF($E47=0,0,B47/$E47)</f>
        <v>0.57115546159001</v>
      </c>
      <c r="G47" s="64" t="n">
        <f aca="false">IF($E47=0,0,C47/$E47)</f>
        <v>0.112853353972194</v>
      </c>
      <c r="H47" s="64" t="n">
        <f aca="false">IF($E47=0,0,D47/$E47)</f>
        <v>0.315991184437796</v>
      </c>
      <c r="I47" s="63" t="n">
        <f aca="false">AVERAGE(I41:I46)</f>
        <v>42160.462962963</v>
      </c>
      <c r="J47" s="64" t="n">
        <f aca="false">IF(I47=0,0,E47/I47-1)</f>
        <v>0.0576575026109762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2026-10-26T13:29:37Z</dcterms:created>
  <dc:creator>openpyxl</dc:creator>
  <dc:description/>
  <dc:language>en-US</dc:language>
  <cp:lastModifiedBy/>
  <dcterms:modified xsi:type="dcterms:W3CDTF">2026-10-26T13:29:40Z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